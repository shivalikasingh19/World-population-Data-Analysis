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2"/>
  </bookViews>
  <sheets>
    <sheet name="world POP DATA" sheetId="4" r:id="rId1"/>
    <sheet name="Top Ten Countries" sheetId="2" r:id="rId2"/>
    <sheet name="Forcasting Trend" sheetId="3" r:id="rId3"/>
  </sheets>
  <externalReferences>
    <externalReference r:id="rId4"/>
    <externalReference r:id="rId5"/>
    <externalReference r:id="rId6"/>
  </externalReferences>
  <definedNames>
    <definedName name="_xlnm._FilterDatabase" localSheetId="0" hidden="1">'world POP DATA'!$I$248:$R$248</definedName>
  </definedNames>
  <calcPr calcId="124519"/>
</workbook>
</file>

<file path=xl/calcChain.xml><?xml version="1.0" encoding="utf-8"?>
<calcChain xmlns="http://schemas.openxmlformats.org/spreadsheetml/2006/main">
  <c r="C22" i="3"/>
  <c r="B8"/>
  <c r="C9" i="2"/>
  <c r="D10"/>
  <c r="C10" i="3"/>
  <c r="D10"/>
  <c r="D11" i="2"/>
  <c r="B11" i="3"/>
  <c r="C12" i="2"/>
  <c r="E12"/>
  <c r="B12" i="3"/>
  <c r="B13" i="2"/>
  <c r="C13"/>
  <c r="D14"/>
  <c r="C14" i="3"/>
  <c r="D14"/>
  <c r="D15" i="2"/>
  <c r="E15"/>
  <c r="B15" i="3"/>
  <c r="C16" i="2"/>
  <c r="E16"/>
  <c r="B16" i="3"/>
  <c r="B17" i="2"/>
  <c r="C17"/>
  <c r="D18"/>
  <c r="B25" i="3"/>
  <c r="C25"/>
  <c r="B26"/>
  <c r="C26"/>
  <c r="C27"/>
  <c r="B29"/>
  <c r="B30"/>
  <c r="C30"/>
  <c r="C31"/>
  <c r="B33"/>
  <c r="B34"/>
  <c r="C34"/>
  <c r="B27"/>
  <c r="B28"/>
  <c r="B31"/>
  <c r="B32"/>
  <c r="C28"/>
  <c r="C29"/>
  <c r="C32"/>
  <c r="C33"/>
  <c r="B9"/>
  <c r="B10"/>
  <c r="B13"/>
  <c r="B14"/>
  <c r="B17"/>
  <c r="D9"/>
  <c r="D11"/>
  <c r="D12"/>
  <c r="D13"/>
  <c r="D15"/>
  <c r="D16"/>
  <c r="D17"/>
  <c r="D8"/>
  <c r="C9"/>
  <c r="C11"/>
  <c r="C12"/>
  <c r="C13"/>
  <c r="C15"/>
  <c r="C16"/>
  <c r="C17"/>
  <c r="C8"/>
  <c r="E10" i="2"/>
  <c r="E13"/>
  <c r="E14"/>
  <c r="E17"/>
  <c r="E18"/>
  <c r="D12"/>
  <c r="D13"/>
  <c r="D16"/>
  <c r="D17"/>
  <c r="E9"/>
  <c r="D9"/>
  <c r="C10"/>
  <c r="C11"/>
  <c r="C14"/>
  <c r="C15"/>
  <c r="C18"/>
  <c r="B10"/>
  <c r="B11"/>
  <c r="B12"/>
  <c r="B14"/>
  <c r="B15"/>
  <c r="B16"/>
  <c r="B18"/>
  <c r="B9"/>
  <c r="E46"/>
  <c r="D46"/>
  <c r="E45"/>
  <c r="D45"/>
  <c r="E44"/>
  <c r="D44"/>
  <c r="E43"/>
  <c r="D43"/>
  <c r="Z239" i="4"/>
  <c r="X239"/>
  <c r="U239"/>
  <c r="W239" s="1"/>
  <c r="R239"/>
  <c r="V239" s="1"/>
  <c r="O239"/>
  <c r="N239"/>
  <c r="L239"/>
  <c r="Q239" s="1"/>
  <c r="I239"/>
  <c r="K239" s="1"/>
  <c r="F239"/>
  <c r="J239" s="1"/>
  <c r="E239"/>
  <c r="D239"/>
  <c r="C239"/>
  <c r="B239"/>
  <c r="Z238"/>
  <c r="X238"/>
  <c r="U238"/>
  <c r="W238" s="1"/>
  <c r="R238"/>
  <c r="V238" s="1"/>
  <c r="O238"/>
  <c r="Q238" s="1"/>
  <c r="N238"/>
  <c r="L238"/>
  <c r="M238" s="1"/>
  <c r="I238"/>
  <c r="K238" s="1"/>
  <c r="F238"/>
  <c r="J238" s="1"/>
  <c r="E238"/>
  <c r="D238"/>
  <c r="C238"/>
  <c r="B238"/>
  <c r="Z237"/>
  <c r="X237"/>
  <c r="U237"/>
  <c r="R237"/>
  <c r="V237" s="1"/>
  <c r="O237"/>
  <c r="Q237" s="1"/>
  <c r="N237"/>
  <c r="L237"/>
  <c r="M237" s="1"/>
  <c r="I237"/>
  <c r="F237"/>
  <c r="J237" s="1"/>
  <c r="E237"/>
  <c r="D237"/>
  <c r="C237"/>
  <c r="B237"/>
  <c r="Z236"/>
  <c r="X236"/>
  <c r="U236"/>
  <c r="R236"/>
  <c r="V236" s="1"/>
  <c r="O236"/>
  <c r="Q236" s="1"/>
  <c r="N236"/>
  <c r="L236"/>
  <c r="M236" s="1"/>
  <c r="I236"/>
  <c r="F236"/>
  <c r="J236" s="1"/>
  <c r="E236"/>
  <c r="D236"/>
  <c r="C236"/>
  <c r="B236"/>
  <c r="Z235"/>
  <c r="X235"/>
  <c r="U235"/>
  <c r="R235"/>
  <c r="V235" s="1"/>
  <c r="O235"/>
  <c r="Q235" s="1"/>
  <c r="N235"/>
  <c r="L235"/>
  <c r="M235" s="1"/>
  <c r="I235"/>
  <c r="F235"/>
  <c r="J235" s="1"/>
  <c r="E235"/>
  <c r="D235"/>
  <c r="C235"/>
  <c r="B235"/>
  <c r="Z234"/>
  <c r="X234"/>
  <c r="U234"/>
  <c r="R234"/>
  <c r="V234" s="1"/>
  <c r="O234"/>
  <c r="Q234" s="1"/>
  <c r="N234"/>
  <c r="L234"/>
  <c r="M234" s="1"/>
  <c r="I234"/>
  <c r="F234"/>
  <c r="J234" s="1"/>
  <c r="E234"/>
  <c r="D234"/>
  <c r="C234"/>
  <c r="B234"/>
  <c r="Z233"/>
  <c r="X233"/>
  <c r="U233"/>
  <c r="R233"/>
  <c r="V233" s="1"/>
  <c r="O233"/>
  <c r="Q233" s="1"/>
  <c r="N233"/>
  <c r="L233"/>
  <c r="M233" s="1"/>
  <c r="I233"/>
  <c r="F233"/>
  <c r="J233" s="1"/>
  <c r="E233"/>
  <c r="D233"/>
  <c r="C233"/>
  <c r="B233"/>
  <c r="Z232"/>
  <c r="X232"/>
  <c r="U232"/>
  <c r="R232"/>
  <c r="V232" s="1"/>
  <c r="O232"/>
  <c r="Q232" s="1"/>
  <c r="N232"/>
  <c r="L232"/>
  <c r="M232" s="1"/>
  <c r="I232"/>
  <c r="F232"/>
  <c r="J232" s="1"/>
  <c r="E232"/>
  <c r="D232"/>
  <c r="C232"/>
  <c r="B232"/>
  <c r="Z231"/>
  <c r="X231"/>
  <c r="U231"/>
  <c r="R231"/>
  <c r="V231" s="1"/>
  <c r="O231"/>
  <c r="Q231" s="1"/>
  <c r="N231"/>
  <c r="L231"/>
  <c r="M231" s="1"/>
  <c r="I231"/>
  <c r="F231"/>
  <c r="J231" s="1"/>
  <c r="E231"/>
  <c r="D231"/>
  <c r="C231"/>
  <c r="B231"/>
  <c r="Z230"/>
  <c r="X230"/>
  <c r="U230"/>
  <c r="R230"/>
  <c r="V230" s="1"/>
  <c r="O230"/>
  <c r="Q230" s="1"/>
  <c r="N230"/>
  <c r="L230"/>
  <c r="M230" s="1"/>
  <c r="I230"/>
  <c r="F230"/>
  <c r="J230" s="1"/>
  <c r="E230"/>
  <c r="D230"/>
  <c r="C230"/>
  <c r="B230"/>
  <c r="Z229"/>
  <c r="X229"/>
  <c r="U229"/>
  <c r="R229"/>
  <c r="V229" s="1"/>
  <c r="O229"/>
  <c r="Q229" s="1"/>
  <c r="N229"/>
  <c r="L229"/>
  <c r="M229" s="1"/>
  <c r="I229"/>
  <c r="F229"/>
  <c r="J229" s="1"/>
  <c r="E229"/>
  <c r="D229"/>
  <c r="C229"/>
  <c r="B229"/>
  <c r="Z228"/>
  <c r="X228"/>
  <c r="U228"/>
  <c r="R228"/>
  <c r="V228" s="1"/>
  <c r="O228"/>
  <c r="Q228" s="1"/>
  <c r="N228"/>
  <c r="L228"/>
  <c r="M228" s="1"/>
  <c r="I228"/>
  <c r="F228"/>
  <c r="J228" s="1"/>
  <c r="E228"/>
  <c r="D228"/>
  <c r="C228"/>
  <c r="B228"/>
  <c r="Z227"/>
  <c r="X227"/>
  <c r="U227"/>
  <c r="R227"/>
  <c r="V227" s="1"/>
  <c r="O227"/>
  <c r="Q227" s="1"/>
  <c r="N227"/>
  <c r="L227"/>
  <c r="M227" s="1"/>
  <c r="I227"/>
  <c r="F227"/>
  <c r="J227" s="1"/>
  <c r="E227"/>
  <c r="D227"/>
  <c r="C227"/>
  <c r="B227"/>
  <c r="Z226"/>
  <c r="X226"/>
  <c r="U226"/>
  <c r="R226"/>
  <c r="V226" s="1"/>
  <c r="O226"/>
  <c r="Q226" s="1"/>
  <c r="N226"/>
  <c r="L226"/>
  <c r="M226" s="1"/>
  <c r="I226"/>
  <c r="F226"/>
  <c r="J226" s="1"/>
  <c r="E226"/>
  <c r="D226"/>
  <c r="C226"/>
  <c r="B226"/>
  <c r="Z225"/>
  <c r="X225"/>
  <c r="U225"/>
  <c r="R225"/>
  <c r="V225" s="1"/>
  <c r="O225"/>
  <c r="Q225" s="1"/>
  <c r="N225"/>
  <c r="L225"/>
  <c r="M225" s="1"/>
  <c r="I225"/>
  <c r="F225"/>
  <c r="J225" s="1"/>
  <c r="E225"/>
  <c r="D225"/>
  <c r="C225"/>
  <c r="B225"/>
  <c r="Z224"/>
  <c r="X224"/>
  <c r="U224"/>
  <c r="R224"/>
  <c r="V224" s="1"/>
  <c r="O224"/>
  <c r="Q224" s="1"/>
  <c r="N224"/>
  <c r="L224"/>
  <c r="M224" s="1"/>
  <c r="I224"/>
  <c r="F224"/>
  <c r="J224" s="1"/>
  <c r="E224"/>
  <c r="D224"/>
  <c r="C224"/>
  <c r="B224"/>
  <c r="Z223"/>
  <c r="X223"/>
  <c r="U223"/>
  <c r="R223"/>
  <c r="V223" s="1"/>
  <c r="O223"/>
  <c r="Q223" s="1"/>
  <c r="N223"/>
  <c r="L223"/>
  <c r="M223" s="1"/>
  <c r="I223"/>
  <c r="F223"/>
  <c r="J223" s="1"/>
  <c r="E223"/>
  <c r="D223"/>
  <c r="C223"/>
  <c r="B223"/>
  <c r="Z222"/>
  <c r="X222"/>
  <c r="U222"/>
  <c r="R222"/>
  <c r="V222" s="1"/>
  <c r="O222"/>
  <c r="Q222" s="1"/>
  <c r="N222"/>
  <c r="L222"/>
  <c r="M222" s="1"/>
  <c r="I222"/>
  <c r="F222"/>
  <c r="J222" s="1"/>
  <c r="E222"/>
  <c r="D222"/>
  <c r="C222"/>
  <c r="B222"/>
  <c r="Z221"/>
  <c r="X221"/>
  <c r="U221"/>
  <c r="R221"/>
  <c r="V221" s="1"/>
  <c r="O221"/>
  <c r="Q221" s="1"/>
  <c r="N221"/>
  <c r="L221"/>
  <c r="M221" s="1"/>
  <c r="I221"/>
  <c r="F221"/>
  <c r="J221" s="1"/>
  <c r="E221"/>
  <c r="D221"/>
  <c r="C221"/>
  <c r="B221"/>
  <c r="Z220"/>
  <c r="X220"/>
  <c r="U220"/>
  <c r="R220"/>
  <c r="V220" s="1"/>
  <c r="O220"/>
  <c r="Q220" s="1"/>
  <c r="N220"/>
  <c r="L220"/>
  <c r="M220" s="1"/>
  <c r="I220"/>
  <c r="F220"/>
  <c r="J220" s="1"/>
  <c r="E220"/>
  <c r="D220"/>
  <c r="C220"/>
  <c r="B220"/>
  <c r="Z219"/>
  <c r="X219"/>
  <c r="U219"/>
  <c r="R219"/>
  <c r="V219" s="1"/>
  <c r="O219"/>
  <c r="Q219" s="1"/>
  <c r="N219"/>
  <c r="L219"/>
  <c r="M219" s="1"/>
  <c r="I219"/>
  <c r="F219"/>
  <c r="J219" s="1"/>
  <c r="E219"/>
  <c r="D219"/>
  <c r="C219"/>
  <c r="B219"/>
  <c r="Z218"/>
  <c r="X218"/>
  <c r="U218"/>
  <c r="R218"/>
  <c r="V218" s="1"/>
  <c r="O218"/>
  <c r="Q218" s="1"/>
  <c r="N218"/>
  <c r="L218"/>
  <c r="M218" s="1"/>
  <c r="I218"/>
  <c r="F218"/>
  <c r="J218" s="1"/>
  <c r="E218"/>
  <c r="D218"/>
  <c r="C218"/>
  <c r="B218"/>
  <c r="Z217"/>
  <c r="X217"/>
  <c r="U217"/>
  <c r="R217"/>
  <c r="V217" s="1"/>
  <c r="O217"/>
  <c r="Q217" s="1"/>
  <c r="N217"/>
  <c r="L217"/>
  <c r="M217" s="1"/>
  <c r="I217"/>
  <c r="F217"/>
  <c r="J217" s="1"/>
  <c r="E217"/>
  <c r="D217"/>
  <c r="C217"/>
  <c r="B217"/>
  <c r="Z216"/>
  <c r="X216"/>
  <c r="U216"/>
  <c r="R216"/>
  <c r="V216" s="1"/>
  <c r="O216"/>
  <c r="Q216" s="1"/>
  <c r="N216"/>
  <c r="L216"/>
  <c r="M216" s="1"/>
  <c r="I216"/>
  <c r="F216"/>
  <c r="J216" s="1"/>
  <c r="E216"/>
  <c r="D216"/>
  <c r="C216"/>
  <c r="B216"/>
  <c r="Z215"/>
  <c r="X215"/>
  <c r="U215"/>
  <c r="R215"/>
  <c r="V215" s="1"/>
  <c r="O215"/>
  <c r="Q215" s="1"/>
  <c r="N215"/>
  <c r="L215"/>
  <c r="M215" s="1"/>
  <c r="I215"/>
  <c r="F215"/>
  <c r="J215" s="1"/>
  <c r="E215"/>
  <c r="D215"/>
  <c r="C215"/>
  <c r="B215"/>
  <c r="Z214"/>
  <c r="X214"/>
  <c r="U214"/>
  <c r="R214"/>
  <c r="V214" s="1"/>
  <c r="O214"/>
  <c r="Q214" s="1"/>
  <c r="N214"/>
  <c r="L214"/>
  <c r="M214" s="1"/>
  <c r="I214"/>
  <c r="F214"/>
  <c r="J214" s="1"/>
  <c r="E214"/>
  <c r="D214"/>
  <c r="C214"/>
  <c r="B214"/>
  <c r="Z213"/>
  <c r="X213"/>
  <c r="U213"/>
  <c r="R213"/>
  <c r="V213" s="1"/>
  <c r="O213"/>
  <c r="Q213" s="1"/>
  <c r="N213"/>
  <c r="L213"/>
  <c r="M213" s="1"/>
  <c r="I213"/>
  <c r="F213"/>
  <c r="J213" s="1"/>
  <c r="E213"/>
  <c r="D213"/>
  <c r="C213"/>
  <c r="B213"/>
  <c r="Z212"/>
  <c r="X212"/>
  <c r="U212"/>
  <c r="R212"/>
  <c r="V212" s="1"/>
  <c r="O212"/>
  <c r="Q212" s="1"/>
  <c r="N212"/>
  <c r="L212"/>
  <c r="M212" s="1"/>
  <c r="I212"/>
  <c r="F212"/>
  <c r="J212" s="1"/>
  <c r="E212"/>
  <c r="D212"/>
  <c r="C212"/>
  <c r="B212"/>
  <c r="Z211"/>
  <c r="X211"/>
  <c r="U211"/>
  <c r="R211"/>
  <c r="V211" s="1"/>
  <c r="O211"/>
  <c r="Q211" s="1"/>
  <c r="N211"/>
  <c r="L211"/>
  <c r="M211" s="1"/>
  <c r="I211"/>
  <c r="F211"/>
  <c r="J211" s="1"/>
  <c r="E211"/>
  <c r="D211"/>
  <c r="C211"/>
  <c r="B211"/>
  <c r="Z210"/>
  <c r="X210"/>
  <c r="U210"/>
  <c r="R210"/>
  <c r="V210" s="1"/>
  <c r="O210"/>
  <c r="Q210" s="1"/>
  <c r="N210"/>
  <c r="L210"/>
  <c r="M210" s="1"/>
  <c r="I210"/>
  <c r="F210"/>
  <c r="J210" s="1"/>
  <c r="E210"/>
  <c r="D210"/>
  <c r="C210"/>
  <c r="B210"/>
  <c r="Z209"/>
  <c r="X209"/>
  <c r="U209"/>
  <c r="R209"/>
  <c r="V209" s="1"/>
  <c r="O209"/>
  <c r="Q209" s="1"/>
  <c r="N209"/>
  <c r="L209"/>
  <c r="M209" s="1"/>
  <c r="I209"/>
  <c r="F209"/>
  <c r="J209" s="1"/>
  <c r="E209"/>
  <c r="D209"/>
  <c r="C209"/>
  <c r="B209"/>
  <c r="Z208"/>
  <c r="X208"/>
  <c r="U208"/>
  <c r="R208"/>
  <c r="V208" s="1"/>
  <c r="O208"/>
  <c r="Q208" s="1"/>
  <c r="N208"/>
  <c r="L208"/>
  <c r="M208" s="1"/>
  <c r="I208"/>
  <c r="F208"/>
  <c r="J208" s="1"/>
  <c r="E208"/>
  <c r="D208"/>
  <c r="C208"/>
  <c r="B208"/>
  <c r="Z207"/>
  <c r="X207"/>
  <c r="U207"/>
  <c r="R207"/>
  <c r="V207" s="1"/>
  <c r="O207"/>
  <c r="Q207" s="1"/>
  <c r="N207"/>
  <c r="L207"/>
  <c r="M207" s="1"/>
  <c r="I207"/>
  <c r="F207"/>
  <c r="J207" s="1"/>
  <c r="E207"/>
  <c r="D207"/>
  <c r="C207"/>
  <c r="B207"/>
  <c r="Z206"/>
  <c r="X206"/>
  <c r="U206"/>
  <c r="R206"/>
  <c r="V206" s="1"/>
  <c r="O206"/>
  <c r="Q206" s="1"/>
  <c r="N206"/>
  <c r="L206"/>
  <c r="M206" s="1"/>
  <c r="I206"/>
  <c r="F206"/>
  <c r="J206" s="1"/>
  <c r="E206"/>
  <c r="D206"/>
  <c r="C206"/>
  <c r="B206"/>
  <c r="Z205"/>
  <c r="X205"/>
  <c r="U205"/>
  <c r="R205"/>
  <c r="V205" s="1"/>
  <c r="O205"/>
  <c r="Q205" s="1"/>
  <c r="N205"/>
  <c r="L205"/>
  <c r="M205" s="1"/>
  <c r="I205"/>
  <c r="F205"/>
  <c r="J205" s="1"/>
  <c r="E205"/>
  <c r="D205"/>
  <c r="C205"/>
  <c r="B205"/>
  <c r="Z204"/>
  <c r="X204"/>
  <c r="U204"/>
  <c r="R204"/>
  <c r="V204" s="1"/>
  <c r="O204"/>
  <c r="Q204" s="1"/>
  <c r="N204"/>
  <c r="L204"/>
  <c r="M204" s="1"/>
  <c r="I204"/>
  <c r="F204"/>
  <c r="J204" s="1"/>
  <c r="E204"/>
  <c r="D204"/>
  <c r="C204"/>
  <c r="B204"/>
  <c r="Z203"/>
  <c r="X203"/>
  <c r="U203"/>
  <c r="R203"/>
  <c r="V203" s="1"/>
  <c r="O203"/>
  <c r="Q203" s="1"/>
  <c r="N203"/>
  <c r="L203"/>
  <c r="M203" s="1"/>
  <c r="I203"/>
  <c r="F203"/>
  <c r="J203" s="1"/>
  <c r="E203"/>
  <c r="D203"/>
  <c r="C203"/>
  <c r="B203"/>
  <c r="Z202"/>
  <c r="X202"/>
  <c r="U202"/>
  <c r="R202"/>
  <c r="V202" s="1"/>
  <c r="O202"/>
  <c r="Q202" s="1"/>
  <c r="N202"/>
  <c r="L202"/>
  <c r="M202" s="1"/>
  <c r="I202"/>
  <c r="F202"/>
  <c r="J202" s="1"/>
  <c r="E202"/>
  <c r="D202"/>
  <c r="C202"/>
  <c r="B202"/>
  <c r="Z201"/>
  <c r="X201"/>
  <c r="U201"/>
  <c r="R201"/>
  <c r="V201" s="1"/>
  <c r="O201"/>
  <c r="Q201" s="1"/>
  <c r="N201"/>
  <c r="L201"/>
  <c r="M201" s="1"/>
  <c r="I201"/>
  <c r="F201"/>
  <c r="J201" s="1"/>
  <c r="E201"/>
  <c r="D201"/>
  <c r="C201"/>
  <c r="B201"/>
  <c r="Z200"/>
  <c r="X200"/>
  <c r="U200"/>
  <c r="R200"/>
  <c r="V200" s="1"/>
  <c r="O200"/>
  <c r="Q200" s="1"/>
  <c r="N200"/>
  <c r="L200"/>
  <c r="M200" s="1"/>
  <c r="I200"/>
  <c r="F200"/>
  <c r="J200" s="1"/>
  <c r="E200"/>
  <c r="D200"/>
  <c r="C200"/>
  <c r="B200"/>
  <c r="Z199"/>
  <c r="X199"/>
  <c r="U199"/>
  <c r="R199"/>
  <c r="V199" s="1"/>
  <c r="O199"/>
  <c r="Q199" s="1"/>
  <c r="N199"/>
  <c r="L199"/>
  <c r="M199" s="1"/>
  <c r="I199"/>
  <c r="F199"/>
  <c r="J199" s="1"/>
  <c r="E199"/>
  <c r="D199"/>
  <c r="C199"/>
  <c r="B199"/>
  <c r="Z198"/>
  <c r="X198"/>
  <c r="U198"/>
  <c r="R198"/>
  <c r="V198" s="1"/>
  <c r="O198"/>
  <c r="Q198" s="1"/>
  <c r="N198"/>
  <c r="L198"/>
  <c r="M198" s="1"/>
  <c r="J198"/>
  <c r="I198"/>
  <c r="F198"/>
  <c r="E198"/>
  <c r="D198"/>
  <c r="C198"/>
  <c r="B198"/>
  <c r="Z197"/>
  <c r="X197"/>
  <c r="U197"/>
  <c r="R197"/>
  <c r="V197" s="1"/>
  <c r="O197"/>
  <c r="Q197" s="1"/>
  <c r="N197"/>
  <c r="L197"/>
  <c r="M197" s="1"/>
  <c r="J197"/>
  <c r="I197"/>
  <c r="F197"/>
  <c r="E197"/>
  <c r="D197"/>
  <c r="C197"/>
  <c r="B197"/>
  <c r="Z196"/>
  <c r="X196"/>
  <c r="V196"/>
  <c r="U196"/>
  <c r="R196"/>
  <c r="O196"/>
  <c r="Q196" s="1"/>
  <c r="N196"/>
  <c r="L196"/>
  <c r="M196" s="1"/>
  <c r="I196"/>
  <c r="F196"/>
  <c r="J196" s="1"/>
  <c r="E196"/>
  <c r="D196"/>
  <c r="C196"/>
  <c r="B196"/>
  <c r="Z195"/>
  <c r="X195"/>
  <c r="V195"/>
  <c r="U195"/>
  <c r="R195"/>
  <c r="O195"/>
  <c r="Q195" s="1"/>
  <c r="N195"/>
  <c r="L195"/>
  <c r="M195" s="1"/>
  <c r="I195"/>
  <c r="F195"/>
  <c r="J195" s="1"/>
  <c r="E195"/>
  <c r="D195"/>
  <c r="C195"/>
  <c r="B195"/>
  <c r="Z194"/>
  <c r="X194"/>
  <c r="U194"/>
  <c r="R194"/>
  <c r="V194" s="1"/>
  <c r="O194"/>
  <c r="N194"/>
  <c r="L194"/>
  <c r="M194" s="1"/>
  <c r="I194"/>
  <c r="F194"/>
  <c r="H194" s="1"/>
  <c r="E194"/>
  <c r="D194"/>
  <c r="C194"/>
  <c r="B194"/>
  <c r="Z193"/>
  <c r="X193"/>
  <c r="U193"/>
  <c r="S193"/>
  <c r="R193"/>
  <c r="T193" s="1"/>
  <c r="O193"/>
  <c r="N193"/>
  <c r="L193"/>
  <c r="M193" s="1"/>
  <c r="I193"/>
  <c r="G193"/>
  <c r="F193"/>
  <c r="H193" s="1"/>
  <c r="E193"/>
  <c r="D193"/>
  <c r="C193"/>
  <c r="B193"/>
  <c r="Z192"/>
  <c r="X192"/>
  <c r="U192"/>
  <c r="S192"/>
  <c r="R192"/>
  <c r="T192" s="1"/>
  <c r="O192"/>
  <c r="N192"/>
  <c r="L192"/>
  <c r="M192" s="1"/>
  <c r="I192"/>
  <c r="G192"/>
  <c r="F192"/>
  <c r="H192" s="1"/>
  <c r="E192"/>
  <c r="D192"/>
  <c r="C192"/>
  <c r="B192"/>
  <c r="Z191"/>
  <c r="X191"/>
  <c r="U191"/>
  <c r="S191"/>
  <c r="R191"/>
  <c r="T191" s="1"/>
  <c r="O191"/>
  <c r="N191"/>
  <c r="L191"/>
  <c r="M191" s="1"/>
  <c r="I191"/>
  <c r="G191"/>
  <c r="F191"/>
  <c r="H191" s="1"/>
  <c r="E191"/>
  <c r="D191"/>
  <c r="C191"/>
  <c r="B191"/>
  <c r="Z190"/>
  <c r="X190"/>
  <c r="U190"/>
  <c r="S190"/>
  <c r="R190"/>
  <c r="T190" s="1"/>
  <c r="O190"/>
  <c r="N190"/>
  <c r="L190"/>
  <c r="M190" s="1"/>
  <c r="I190"/>
  <c r="G190"/>
  <c r="F190"/>
  <c r="H190" s="1"/>
  <c r="E190"/>
  <c r="D190"/>
  <c r="C190"/>
  <c r="B190"/>
  <c r="Z189"/>
  <c r="X189"/>
  <c r="U189"/>
  <c r="S189"/>
  <c r="R189"/>
  <c r="T189" s="1"/>
  <c r="O189"/>
  <c r="N189"/>
  <c r="L189"/>
  <c r="M189" s="1"/>
  <c r="I189"/>
  <c r="G189"/>
  <c r="F189"/>
  <c r="H189" s="1"/>
  <c r="E189"/>
  <c r="D189"/>
  <c r="C189"/>
  <c r="B189"/>
  <c r="Z188"/>
  <c r="X188"/>
  <c r="U188"/>
  <c r="R188"/>
  <c r="V188" s="1"/>
  <c r="P188"/>
  <c r="O188"/>
  <c r="Q188" s="1"/>
  <c r="L188"/>
  <c r="M188" s="1"/>
  <c r="K188"/>
  <c r="I188"/>
  <c r="G188"/>
  <c r="F188"/>
  <c r="J188" s="1"/>
  <c r="E188"/>
  <c r="D188"/>
  <c r="C188"/>
  <c r="B188"/>
  <c r="Z187"/>
  <c r="X187"/>
  <c r="U187"/>
  <c r="R187"/>
  <c r="V187" s="1"/>
  <c r="P187"/>
  <c r="O187"/>
  <c r="Q187" s="1"/>
  <c r="L187"/>
  <c r="M187" s="1"/>
  <c r="K187"/>
  <c r="I187"/>
  <c r="G187"/>
  <c r="F187"/>
  <c r="J187" s="1"/>
  <c r="E187"/>
  <c r="D187"/>
  <c r="C187"/>
  <c r="B187"/>
  <c r="Z186"/>
  <c r="X186"/>
  <c r="U186"/>
  <c r="R186"/>
  <c r="V186" s="1"/>
  <c r="P186"/>
  <c r="O186"/>
  <c r="Q186" s="1"/>
  <c r="L186"/>
  <c r="M186" s="1"/>
  <c r="K186"/>
  <c r="I186"/>
  <c r="G186"/>
  <c r="F186"/>
  <c r="J186" s="1"/>
  <c r="E186"/>
  <c r="D186"/>
  <c r="C186"/>
  <c r="B186"/>
  <c r="Z185"/>
  <c r="X185"/>
  <c r="U185"/>
  <c r="R185"/>
  <c r="V185" s="1"/>
  <c r="P185"/>
  <c r="O185"/>
  <c r="Q185" s="1"/>
  <c r="L185"/>
  <c r="M185" s="1"/>
  <c r="K185"/>
  <c r="I185"/>
  <c r="G185"/>
  <c r="F185"/>
  <c r="J185" s="1"/>
  <c r="E185"/>
  <c r="D185"/>
  <c r="C185"/>
  <c r="B185"/>
  <c r="Z184"/>
  <c r="X184"/>
  <c r="U184"/>
  <c r="R184"/>
  <c r="V184" s="1"/>
  <c r="P184"/>
  <c r="O184"/>
  <c r="Q184" s="1"/>
  <c r="L184"/>
  <c r="M184" s="1"/>
  <c r="K184"/>
  <c r="I184"/>
  <c r="G184"/>
  <c r="F184"/>
  <c r="J184" s="1"/>
  <c r="E184"/>
  <c r="D184"/>
  <c r="C184"/>
  <c r="B184"/>
  <c r="Z183"/>
  <c r="X183"/>
  <c r="U183"/>
  <c r="R183"/>
  <c r="V183" s="1"/>
  <c r="P183"/>
  <c r="O183"/>
  <c r="Q183" s="1"/>
  <c r="L183"/>
  <c r="M183" s="1"/>
  <c r="K183"/>
  <c r="I183"/>
  <c r="G183"/>
  <c r="F183"/>
  <c r="J183" s="1"/>
  <c r="E183"/>
  <c r="D183"/>
  <c r="C183"/>
  <c r="B183"/>
  <c r="Z182"/>
  <c r="X182"/>
  <c r="AB182" s="1"/>
  <c r="W182"/>
  <c r="U182"/>
  <c r="R182"/>
  <c r="V182" s="1"/>
  <c r="O182"/>
  <c r="S182" s="1"/>
  <c r="N182"/>
  <c r="L182"/>
  <c r="M182" s="1"/>
  <c r="K182"/>
  <c r="I182"/>
  <c r="G182"/>
  <c r="F182"/>
  <c r="J182" s="1"/>
  <c r="E182"/>
  <c r="D182"/>
  <c r="C182"/>
  <c r="B182"/>
  <c r="Z181"/>
  <c r="X181"/>
  <c r="AB181" s="1"/>
  <c r="W181"/>
  <c r="U181"/>
  <c r="R181"/>
  <c r="V181" s="1"/>
  <c r="O181"/>
  <c r="S181" s="1"/>
  <c r="N181"/>
  <c r="L181"/>
  <c r="M181" s="1"/>
  <c r="K181"/>
  <c r="I181"/>
  <c r="G181"/>
  <c r="F181"/>
  <c r="J181" s="1"/>
  <c r="E181"/>
  <c r="D181"/>
  <c r="C181"/>
  <c r="B181"/>
  <c r="Z180"/>
  <c r="X180"/>
  <c r="AB180" s="1"/>
  <c r="W180"/>
  <c r="U180"/>
  <c r="R180"/>
  <c r="V180" s="1"/>
  <c r="O180"/>
  <c r="S180" s="1"/>
  <c r="N180"/>
  <c r="L180"/>
  <c r="M180" s="1"/>
  <c r="K180"/>
  <c r="I180"/>
  <c r="G180"/>
  <c r="F180"/>
  <c r="J180" s="1"/>
  <c r="E180"/>
  <c r="D180"/>
  <c r="C180"/>
  <c r="B180"/>
  <c r="Z179"/>
  <c r="X179"/>
  <c r="AB179" s="1"/>
  <c r="W179"/>
  <c r="U179"/>
  <c r="R179"/>
  <c r="V179" s="1"/>
  <c r="O179"/>
  <c r="S179" s="1"/>
  <c r="N179"/>
  <c r="L179"/>
  <c r="M179" s="1"/>
  <c r="K179"/>
  <c r="I179"/>
  <c r="G179"/>
  <c r="F179"/>
  <c r="J179" s="1"/>
  <c r="E179"/>
  <c r="D179"/>
  <c r="C179"/>
  <c r="B179"/>
  <c r="Z178"/>
  <c r="X178"/>
  <c r="AB178" s="1"/>
  <c r="W178"/>
  <c r="U178"/>
  <c r="R178"/>
  <c r="V178" s="1"/>
  <c r="O178"/>
  <c r="S178" s="1"/>
  <c r="N178"/>
  <c r="L178"/>
  <c r="M178" s="1"/>
  <c r="K178"/>
  <c r="I178"/>
  <c r="G178"/>
  <c r="F178"/>
  <c r="J178" s="1"/>
  <c r="E178"/>
  <c r="D178"/>
  <c r="C178"/>
  <c r="B178"/>
  <c r="Z177"/>
  <c r="X177"/>
  <c r="AB177" s="1"/>
  <c r="W177"/>
  <c r="U177"/>
  <c r="R177"/>
  <c r="V177" s="1"/>
  <c r="O177"/>
  <c r="S177" s="1"/>
  <c r="N177"/>
  <c r="L177"/>
  <c r="M177" s="1"/>
  <c r="K177"/>
  <c r="I177"/>
  <c r="G177"/>
  <c r="F177"/>
  <c r="J177" s="1"/>
  <c r="E177"/>
  <c r="D177"/>
  <c r="C177"/>
  <c r="B177"/>
  <c r="Z176"/>
  <c r="X176"/>
  <c r="AB176" s="1"/>
  <c r="W176"/>
  <c r="U176"/>
  <c r="R176"/>
  <c r="V176" s="1"/>
  <c r="O176"/>
  <c r="S176" s="1"/>
  <c r="N176"/>
  <c r="L176"/>
  <c r="M176" s="1"/>
  <c r="K176"/>
  <c r="I176"/>
  <c r="G176"/>
  <c r="F176"/>
  <c r="J176" s="1"/>
  <c r="E176"/>
  <c r="D176"/>
  <c r="C176"/>
  <c r="B176"/>
  <c r="Z175"/>
  <c r="X175"/>
  <c r="AB175" s="1"/>
  <c r="W175"/>
  <c r="U175"/>
  <c r="R175"/>
  <c r="V175" s="1"/>
  <c r="O175"/>
  <c r="S175" s="1"/>
  <c r="N175"/>
  <c r="L175"/>
  <c r="M175" s="1"/>
  <c r="K175"/>
  <c r="I175"/>
  <c r="G175"/>
  <c r="F175"/>
  <c r="J175" s="1"/>
  <c r="E175"/>
  <c r="D175"/>
  <c r="C175"/>
  <c r="B175"/>
  <c r="Z174"/>
  <c r="X174"/>
  <c r="AB174" s="1"/>
  <c r="W174"/>
  <c r="U174"/>
  <c r="R174"/>
  <c r="V174" s="1"/>
  <c r="O174"/>
  <c r="S174" s="1"/>
  <c r="N174"/>
  <c r="L174"/>
  <c r="M174" s="1"/>
  <c r="K174"/>
  <c r="I174"/>
  <c r="G174"/>
  <c r="F174"/>
  <c r="J174" s="1"/>
  <c r="E174"/>
  <c r="D174"/>
  <c r="C174"/>
  <c r="B174"/>
  <c r="Z173"/>
  <c r="X173"/>
  <c r="AB173" s="1"/>
  <c r="W173"/>
  <c r="U173"/>
  <c r="R173"/>
  <c r="V173" s="1"/>
  <c r="O173"/>
  <c r="S173" s="1"/>
  <c r="N173"/>
  <c r="L173"/>
  <c r="M173" s="1"/>
  <c r="K173"/>
  <c r="I173"/>
  <c r="G173"/>
  <c r="F173"/>
  <c r="J173" s="1"/>
  <c r="E173"/>
  <c r="D173"/>
  <c r="C173"/>
  <c r="B173"/>
  <c r="Z172"/>
  <c r="X172"/>
  <c r="AB172" s="1"/>
  <c r="W172"/>
  <c r="U172"/>
  <c r="R172"/>
  <c r="V172" s="1"/>
  <c r="O172"/>
  <c r="S172" s="1"/>
  <c r="N172"/>
  <c r="L172"/>
  <c r="M172" s="1"/>
  <c r="K172"/>
  <c r="I172"/>
  <c r="G172"/>
  <c r="F172"/>
  <c r="J172" s="1"/>
  <c r="E172"/>
  <c r="D172"/>
  <c r="C172"/>
  <c r="B172"/>
  <c r="Z171"/>
  <c r="X171"/>
  <c r="AB171" s="1"/>
  <c r="W171"/>
  <c r="U171"/>
  <c r="R171"/>
  <c r="V171" s="1"/>
  <c r="O171"/>
  <c r="S171" s="1"/>
  <c r="N171"/>
  <c r="L171"/>
  <c r="M171" s="1"/>
  <c r="K171"/>
  <c r="I171"/>
  <c r="G171"/>
  <c r="F171"/>
  <c r="J171" s="1"/>
  <c r="E171"/>
  <c r="D171"/>
  <c r="C171"/>
  <c r="B171"/>
  <c r="Z170"/>
  <c r="X170"/>
  <c r="AB170" s="1"/>
  <c r="W170"/>
  <c r="U170"/>
  <c r="R170"/>
  <c r="V170" s="1"/>
  <c r="O170"/>
  <c r="S170" s="1"/>
  <c r="N170"/>
  <c r="L170"/>
  <c r="M170" s="1"/>
  <c r="K170"/>
  <c r="I170"/>
  <c r="G170"/>
  <c r="F170"/>
  <c r="J170" s="1"/>
  <c r="E170"/>
  <c r="D170"/>
  <c r="C170"/>
  <c r="B170"/>
  <c r="Z169"/>
  <c r="X169"/>
  <c r="AB169" s="1"/>
  <c r="W169"/>
  <c r="U169"/>
  <c r="R169"/>
  <c r="V169" s="1"/>
  <c r="O169"/>
  <c r="S169" s="1"/>
  <c r="N169"/>
  <c r="L169"/>
  <c r="M169" s="1"/>
  <c r="K169"/>
  <c r="I169"/>
  <c r="G169"/>
  <c r="F169"/>
  <c r="J169" s="1"/>
  <c r="E169"/>
  <c r="D169"/>
  <c r="C169"/>
  <c r="B169"/>
  <c r="Z168"/>
  <c r="X168"/>
  <c r="AB168" s="1"/>
  <c r="W168"/>
  <c r="U168"/>
  <c r="R168"/>
  <c r="V168" s="1"/>
  <c r="O168"/>
  <c r="S168" s="1"/>
  <c r="N168"/>
  <c r="L168"/>
  <c r="M168" s="1"/>
  <c r="K168"/>
  <c r="I168"/>
  <c r="G168"/>
  <c r="F168"/>
  <c r="J168" s="1"/>
  <c r="E168"/>
  <c r="D168"/>
  <c r="C168"/>
  <c r="B168"/>
  <c r="Z167"/>
  <c r="X167"/>
  <c r="AB167" s="1"/>
  <c r="W167"/>
  <c r="U167"/>
  <c r="R167"/>
  <c r="V167" s="1"/>
  <c r="O167"/>
  <c r="S167" s="1"/>
  <c r="N167"/>
  <c r="L167"/>
  <c r="M167" s="1"/>
  <c r="K167"/>
  <c r="I167"/>
  <c r="G167"/>
  <c r="F167"/>
  <c r="J167" s="1"/>
  <c r="E167"/>
  <c r="D167"/>
  <c r="C167"/>
  <c r="B167"/>
  <c r="Z166"/>
  <c r="X166"/>
  <c r="AB166" s="1"/>
  <c r="W166"/>
  <c r="U166"/>
  <c r="R166"/>
  <c r="V166" s="1"/>
  <c r="O166"/>
  <c r="S166" s="1"/>
  <c r="N166"/>
  <c r="L166"/>
  <c r="M166" s="1"/>
  <c r="K166"/>
  <c r="I166"/>
  <c r="G166"/>
  <c r="F166"/>
  <c r="J166" s="1"/>
  <c r="E166"/>
  <c r="D166"/>
  <c r="C166"/>
  <c r="B166"/>
  <c r="Z165"/>
  <c r="X165"/>
  <c r="AB165" s="1"/>
  <c r="W165"/>
  <c r="U165"/>
  <c r="R165"/>
  <c r="V165" s="1"/>
  <c r="O165"/>
  <c r="S165" s="1"/>
  <c r="N165"/>
  <c r="L165"/>
  <c r="M165" s="1"/>
  <c r="K165"/>
  <c r="I165"/>
  <c r="G165"/>
  <c r="F165"/>
  <c r="J165" s="1"/>
  <c r="E165"/>
  <c r="D165"/>
  <c r="C165"/>
  <c r="B165"/>
  <c r="Z164"/>
  <c r="X164"/>
  <c r="AB164" s="1"/>
  <c r="W164"/>
  <c r="U164"/>
  <c r="R164"/>
  <c r="V164" s="1"/>
  <c r="O164"/>
  <c r="N164"/>
  <c r="L164"/>
  <c r="M164" s="1"/>
  <c r="K164"/>
  <c r="I164"/>
  <c r="G164"/>
  <c r="F164"/>
  <c r="J164" s="1"/>
  <c r="E164"/>
  <c r="D164"/>
  <c r="C164"/>
  <c r="B164"/>
  <c r="Z163"/>
  <c r="X163"/>
  <c r="AB163" s="1"/>
  <c r="W163"/>
  <c r="U163"/>
  <c r="S163"/>
  <c r="R163"/>
  <c r="V163" s="1"/>
  <c r="O163"/>
  <c r="N163"/>
  <c r="L163"/>
  <c r="M163" s="1"/>
  <c r="K163"/>
  <c r="I163"/>
  <c r="G163"/>
  <c r="F163"/>
  <c r="J163" s="1"/>
  <c r="E163"/>
  <c r="D163"/>
  <c r="C163"/>
  <c r="B163"/>
  <c r="Z162"/>
  <c r="X162"/>
  <c r="AB162" s="1"/>
  <c r="W162"/>
  <c r="U162"/>
  <c r="R162"/>
  <c r="V162" s="1"/>
  <c r="O162"/>
  <c r="S162" s="1"/>
  <c r="N162"/>
  <c r="L162"/>
  <c r="M162" s="1"/>
  <c r="K162"/>
  <c r="I162"/>
  <c r="G162"/>
  <c r="F162"/>
  <c r="J162" s="1"/>
  <c r="E162"/>
  <c r="D162"/>
  <c r="C162"/>
  <c r="B162"/>
  <c r="Z161"/>
  <c r="X161"/>
  <c r="AB161" s="1"/>
  <c r="W161"/>
  <c r="U161"/>
  <c r="S161"/>
  <c r="R161"/>
  <c r="V161" s="1"/>
  <c r="O161"/>
  <c r="N161"/>
  <c r="L161"/>
  <c r="M161" s="1"/>
  <c r="K161"/>
  <c r="I161"/>
  <c r="G161"/>
  <c r="F161"/>
  <c r="J161" s="1"/>
  <c r="E161"/>
  <c r="D161"/>
  <c r="C161"/>
  <c r="B161"/>
  <c r="Z160"/>
  <c r="X160"/>
  <c r="AB160" s="1"/>
  <c r="U160"/>
  <c r="R160"/>
  <c r="T160" s="1"/>
  <c r="O160"/>
  <c r="N160"/>
  <c r="L160"/>
  <c r="M160" s="1"/>
  <c r="I160"/>
  <c r="F160"/>
  <c r="H160" s="1"/>
  <c r="E160"/>
  <c r="D160"/>
  <c r="C160"/>
  <c r="B160"/>
  <c r="Z159"/>
  <c r="X159"/>
  <c r="AB159" s="1"/>
  <c r="U159"/>
  <c r="R159"/>
  <c r="T159" s="1"/>
  <c r="O159"/>
  <c r="N159"/>
  <c r="L159"/>
  <c r="M159" s="1"/>
  <c r="I159"/>
  <c r="F159"/>
  <c r="H159" s="1"/>
  <c r="E159"/>
  <c r="D159"/>
  <c r="C159"/>
  <c r="B159"/>
  <c r="Z158"/>
  <c r="X158"/>
  <c r="AB158" s="1"/>
  <c r="U158"/>
  <c r="R158"/>
  <c r="T158" s="1"/>
  <c r="O158"/>
  <c r="N158"/>
  <c r="L158"/>
  <c r="M158" s="1"/>
  <c r="I158"/>
  <c r="F158"/>
  <c r="H158" s="1"/>
  <c r="E158"/>
  <c r="D158"/>
  <c r="C158"/>
  <c r="B158"/>
  <c r="Z157"/>
  <c r="X157"/>
  <c r="AB157" s="1"/>
  <c r="U157"/>
  <c r="R157"/>
  <c r="T157" s="1"/>
  <c r="O157"/>
  <c r="N157"/>
  <c r="L157"/>
  <c r="M157" s="1"/>
  <c r="I157"/>
  <c r="F157"/>
  <c r="H157" s="1"/>
  <c r="E157"/>
  <c r="D157"/>
  <c r="C157"/>
  <c r="B157"/>
  <c r="Z156"/>
  <c r="X156"/>
  <c r="AB156" s="1"/>
  <c r="U156"/>
  <c r="R156"/>
  <c r="T156" s="1"/>
  <c r="O156"/>
  <c r="N156"/>
  <c r="L156"/>
  <c r="M156" s="1"/>
  <c r="I156"/>
  <c r="F156"/>
  <c r="H156" s="1"/>
  <c r="E156"/>
  <c r="D156"/>
  <c r="C156"/>
  <c r="B156"/>
  <c r="Z155"/>
  <c r="X155"/>
  <c r="AB155" s="1"/>
  <c r="U155"/>
  <c r="R155"/>
  <c r="T155" s="1"/>
  <c r="O155"/>
  <c r="N155"/>
  <c r="L155"/>
  <c r="M155" s="1"/>
  <c r="I155"/>
  <c r="F155"/>
  <c r="H155" s="1"/>
  <c r="E155"/>
  <c r="D155"/>
  <c r="C155"/>
  <c r="B155"/>
  <c r="Z154"/>
  <c r="X154"/>
  <c r="AB154" s="1"/>
  <c r="U154"/>
  <c r="R154"/>
  <c r="T154" s="1"/>
  <c r="O154"/>
  <c r="N154"/>
  <c r="L154"/>
  <c r="M154" s="1"/>
  <c r="I154"/>
  <c r="F154"/>
  <c r="H154" s="1"/>
  <c r="E154"/>
  <c r="D154"/>
  <c r="C154"/>
  <c r="B154"/>
  <c r="Z153"/>
  <c r="X153"/>
  <c r="AB153" s="1"/>
  <c r="U153"/>
  <c r="R153"/>
  <c r="T153" s="1"/>
  <c r="O153"/>
  <c r="N153"/>
  <c r="L153"/>
  <c r="M153" s="1"/>
  <c r="I153"/>
  <c r="F153"/>
  <c r="H153" s="1"/>
  <c r="E153"/>
  <c r="D153"/>
  <c r="C153"/>
  <c r="B153"/>
  <c r="Z152"/>
  <c r="X152"/>
  <c r="AB152" s="1"/>
  <c r="U152"/>
  <c r="R152"/>
  <c r="T152" s="1"/>
  <c r="O152"/>
  <c r="N152"/>
  <c r="L152"/>
  <c r="M152" s="1"/>
  <c r="I152"/>
  <c r="F152"/>
  <c r="H152" s="1"/>
  <c r="E152"/>
  <c r="D152"/>
  <c r="C152"/>
  <c r="B152"/>
  <c r="Z151"/>
  <c r="X151"/>
  <c r="AB151" s="1"/>
  <c r="U151"/>
  <c r="R151"/>
  <c r="T151" s="1"/>
  <c r="O151"/>
  <c r="N151"/>
  <c r="L151"/>
  <c r="M151" s="1"/>
  <c r="I151"/>
  <c r="F151"/>
  <c r="H151" s="1"/>
  <c r="E151"/>
  <c r="D151"/>
  <c r="C151"/>
  <c r="B151"/>
  <c r="Z150"/>
  <c r="X150"/>
  <c r="AB150" s="1"/>
  <c r="U150"/>
  <c r="R150"/>
  <c r="T150" s="1"/>
  <c r="O150"/>
  <c r="N150"/>
  <c r="L150"/>
  <c r="M150" s="1"/>
  <c r="I150"/>
  <c r="F150"/>
  <c r="H150" s="1"/>
  <c r="E150"/>
  <c r="D150"/>
  <c r="C150"/>
  <c r="B150"/>
  <c r="Z149"/>
  <c r="X149"/>
  <c r="AB149" s="1"/>
  <c r="U149"/>
  <c r="R149"/>
  <c r="T149" s="1"/>
  <c r="O149"/>
  <c r="N149"/>
  <c r="L149"/>
  <c r="M149" s="1"/>
  <c r="I149"/>
  <c r="F149"/>
  <c r="H149" s="1"/>
  <c r="E149"/>
  <c r="D149"/>
  <c r="C149"/>
  <c r="B149"/>
  <c r="Z148"/>
  <c r="X148"/>
  <c r="AB148" s="1"/>
  <c r="U148"/>
  <c r="R148"/>
  <c r="T148" s="1"/>
  <c r="O148"/>
  <c r="N148"/>
  <c r="L148"/>
  <c r="M148" s="1"/>
  <c r="I148"/>
  <c r="F148"/>
  <c r="H148" s="1"/>
  <c r="E148"/>
  <c r="D148"/>
  <c r="C148"/>
  <c r="B148"/>
  <c r="Z147"/>
  <c r="X147"/>
  <c r="AB147" s="1"/>
  <c r="U147"/>
  <c r="R147"/>
  <c r="T147" s="1"/>
  <c r="O147"/>
  <c r="N147"/>
  <c r="L147"/>
  <c r="M147" s="1"/>
  <c r="I147"/>
  <c r="F147"/>
  <c r="H147" s="1"/>
  <c r="E147"/>
  <c r="D147"/>
  <c r="C147"/>
  <c r="B147"/>
  <c r="Z146"/>
  <c r="X146"/>
  <c r="AB146" s="1"/>
  <c r="U146"/>
  <c r="R146"/>
  <c r="T146" s="1"/>
  <c r="O146"/>
  <c r="N146"/>
  <c r="L146"/>
  <c r="M146" s="1"/>
  <c r="I146"/>
  <c r="F146"/>
  <c r="H146" s="1"/>
  <c r="E146"/>
  <c r="D146"/>
  <c r="C146"/>
  <c r="B146"/>
  <c r="Z145"/>
  <c r="X145"/>
  <c r="AB145" s="1"/>
  <c r="U145"/>
  <c r="R145"/>
  <c r="T145" s="1"/>
  <c r="O145"/>
  <c r="N145"/>
  <c r="L145"/>
  <c r="M145" s="1"/>
  <c r="I145"/>
  <c r="F145"/>
  <c r="H145" s="1"/>
  <c r="E145"/>
  <c r="D145"/>
  <c r="C145"/>
  <c r="B145"/>
  <c r="Z144"/>
  <c r="X144"/>
  <c r="AB144" s="1"/>
  <c r="U144"/>
  <c r="R144"/>
  <c r="T144" s="1"/>
  <c r="O144"/>
  <c r="N144"/>
  <c r="L144"/>
  <c r="M144" s="1"/>
  <c r="I144"/>
  <c r="F144"/>
  <c r="H144" s="1"/>
  <c r="E144"/>
  <c r="D144"/>
  <c r="C144"/>
  <c r="B144"/>
  <c r="Z143"/>
  <c r="X143"/>
  <c r="AB143" s="1"/>
  <c r="U143"/>
  <c r="R143"/>
  <c r="T143" s="1"/>
  <c r="O143"/>
  <c r="N143"/>
  <c r="L143"/>
  <c r="M143" s="1"/>
  <c r="I143"/>
  <c r="F143"/>
  <c r="H143" s="1"/>
  <c r="E143"/>
  <c r="D143"/>
  <c r="C143"/>
  <c r="B143"/>
  <c r="Z142"/>
  <c r="X142"/>
  <c r="AB142" s="1"/>
  <c r="U142"/>
  <c r="R142"/>
  <c r="T142" s="1"/>
  <c r="O142"/>
  <c r="N142"/>
  <c r="L142"/>
  <c r="M142" s="1"/>
  <c r="I142"/>
  <c r="F142"/>
  <c r="H142" s="1"/>
  <c r="E142"/>
  <c r="D142"/>
  <c r="C142"/>
  <c r="B142"/>
  <c r="Z141"/>
  <c r="X141"/>
  <c r="AB141" s="1"/>
  <c r="U141"/>
  <c r="R141"/>
  <c r="T141" s="1"/>
  <c r="O141"/>
  <c r="N141"/>
  <c r="L141"/>
  <c r="M141" s="1"/>
  <c r="I141"/>
  <c r="F141"/>
  <c r="H141" s="1"/>
  <c r="E141"/>
  <c r="D141"/>
  <c r="C141"/>
  <c r="B141"/>
  <c r="Z140"/>
  <c r="X140"/>
  <c r="AB140" s="1"/>
  <c r="U140"/>
  <c r="R140"/>
  <c r="T140" s="1"/>
  <c r="O140"/>
  <c r="N140"/>
  <c r="L140"/>
  <c r="M140" s="1"/>
  <c r="I140"/>
  <c r="F140"/>
  <c r="H140" s="1"/>
  <c r="E140"/>
  <c r="D140"/>
  <c r="C140"/>
  <c r="B140"/>
  <c r="Z139"/>
  <c r="X139"/>
  <c r="AB139" s="1"/>
  <c r="U139"/>
  <c r="R139"/>
  <c r="T139" s="1"/>
  <c r="O139"/>
  <c r="N139"/>
  <c r="L139"/>
  <c r="M139" s="1"/>
  <c r="I139"/>
  <c r="F139"/>
  <c r="H139" s="1"/>
  <c r="E139"/>
  <c r="D139"/>
  <c r="C139"/>
  <c r="B139"/>
  <c r="X138"/>
  <c r="Z138" s="1"/>
  <c r="W138"/>
  <c r="U138"/>
  <c r="S138"/>
  <c r="R138"/>
  <c r="V138" s="1"/>
  <c r="O138"/>
  <c r="Q138" s="1"/>
  <c r="N138"/>
  <c r="L138"/>
  <c r="M138" s="1"/>
  <c r="I138"/>
  <c r="F138"/>
  <c r="H138" s="1"/>
  <c r="E138"/>
  <c r="D138"/>
  <c r="C138"/>
  <c r="B138"/>
  <c r="AB137"/>
  <c r="X137"/>
  <c r="Z137" s="1"/>
  <c r="W137"/>
  <c r="U137"/>
  <c r="S137"/>
  <c r="R137"/>
  <c r="V137" s="1"/>
  <c r="O137"/>
  <c r="Q137" s="1"/>
  <c r="N137"/>
  <c r="L137"/>
  <c r="M137" s="1"/>
  <c r="I137"/>
  <c r="F137"/>
  <c r="H137" s="1"/>
  <c r="E137"/>
  <c r="D137"/>
  <c r="C137"/>
  <c r="B137"/>
  <c r="AB136"/>
  <c r="X136"/>
  <c r="Z136" s="1"/>
  <c r="W136"/>
  <c r="U136"/>
  <c r="S136"/>
  <c r="R136"/>
  <c r="V136" s="1"/>
  <c r="O136"/>
  <c r="Q136" s="1"/>
  <c r="N136"/>
  <c r="L136"/>
  <c r="M136" s="1"/>
  <c r="I136"/>
  <c r="F136"/>
  <c r="H136" s="1"/>
  <c r="E136"/>
  <c r="D136"/>
  <c r="C136"/>
  <c r="B136"/>
  <c r="AB135"/>
  <c r="X135"/>
  <c r="Z135" s="1"/>
  <c r="W135"/>
  <c r="U135"/>
  <c r="S135"/>
  <c r="R135"/>
  <c r="V135" s="1"/>
  <c r="O135"/>
  <c r="Q135" s="1"/>
  <c r="N135"/>
  <c r="L135"/>
  <c r="M135" s="1"/>
  <c r="I135"/>
  <c r="F135"/>
  <c r="H135" s="1"/>
  <c r="E135"/>
  <c r="D135"/>
  <c r="C135"/>
  <c r="B135"/>
  <c r="AB134"/>
  <c r="X134"/>
  <c r="Z134" s="1"/>
  <c r="W134"/>
  <c r="U134"/>
  <c r="S134"/>
  <c r="R134"/>
  <c r="V134" s="1"/>
  <c r="O134"/>
  <c r="Q134" s="1"/>
  <c r="N134"/>
  <c r="L134"/>
  <c r="M134" s="1"/>
  <c r="I134"/>
  <c r="F134"/>
  <c r="H134" s="1"/>
  <c r="E134"/>
  <c r="D134"/>
  <c r="C134"/>
  <c r="B134"/>
  <c r="AB133"/>
  <c r="X133"/>
  <c r="Z133" s="1"/>
  <c r="W133"/>
  <c r="U133"/>
  <c r="S133"/>
  <c r="R133"/>
  <c r="V133" s="1"/>
  <c r="O133"/>
  <c r="Q133" s="1"/>
  <c r="N133"/>
  <c r="L133"/>
  <c r="M133" s="1"/>
  <c r="I133"/>
  <c r="F133"/>
  <c r="H133" s="1"/>
  <c r="E133"/>
  <c r="D133"/>
  <c r="C133"/>
  <c r="B133"/>
  <c r="AB132"/>
  <c r="X132"/>
  <c r="Z132" s="1"/>
  <c r="W132"/>
  <c r="U132"/>
  <c r="R132"/>
  <c r="V132" s="1"/>
  <c r="O132"/>
  <c r="S132" s="1"/>
  <c r="L132"/>
  <c r="N132" s="1"/>
  <c r="K132"/>
  <c r="I132"/>
  <c r="H132"/>
  <c r="G132"/>
  <c r="F132"/>
  <c r="J132" s="1"/>
  <c r="E132"/>
  <c r="D132"/>
  <c r="C132"/>
  <c r="B132"/>
  <c r="X131"/>
  <c r="Z131" s="1"/>
  <c r="W131"/>
  <c r="U131"/>
  <c r="R131"/>
  <c r="V131" s="1"/>
  <c r="O131"/>
  <c r="S131" s="1"/>
  <c r="L131"/>
  <c r="N131" s="1"/>
  <c r="K131"/>
  <c r="I131"/>
  <c r="H131"/>
  <c r="G131"/>
  <c r="F131"/>
  <c r="J131" s="1"/>
  <c r="E131"/>
  <c r="D131"/>
  <c r="C131"/>
  <c r="B131"/>
  <c r="X130"/>
  <c r="Z130" s="1"/>
  <c r="W130"/>
  <c r="U130"/>
  <c r="R130"/>
  <c r="V130" s="1"/>
  <c r="O130"/>
  <c r="S130" s="1"/>
  <c r="L130"/>
  <c r="N130" s="1"/>
  <c r="K130"/>
  <c r="I130"/>
  <c r="H130"/>
  <c r="G130"/>
  <c r="F130"/>
  <c r="J130" s="1"/>
  <c r="E130"/>
  <c r="D130"/>
  <c r="C130"/>
  <c r="B130"/>
  <c r="X129"/>
  <c r="Z129" s="1"/>
  <c r="W129"/>
  <c r="U129"/>
  <c r="R129"/>
  <c r="V129" s="1"/>
  <c r="O129"/>
  <c r="S129" s="1"/>
  <c r="L129"/>
  <c r="N129" s="1"/>
  <c r="K129"/>
  <c r="I129"/>
  <c r="H129"/>
  <c r="G129"/>
  <c r="F129"/>
  <c r="J129" s="1"/>
  <c r="E129"/>
  <c r="D129"/>
  <c r="C129"/>
  <c r="B129"/>
  <c r="X128"/>
  <c r="Z128" s="1"/>
  <c r="W128"/>
  <c r="U128"/>
  <c r="R128"/>
  <c r="V128" s="1"/>
  <c r="O128"/>
  <c r="S128" s="1"/>
  <c r="L128"/>
  <c r="N128" s="1"/>
  <c r="K128"/>
  <c r="I128"/>
  <c r="H128"/>
  <c r="G128"/>
  <c r="F128"/>
  <c r="J128" s="1"/>
  <c r="E128"/>
  <c r="D128"/>
  <c r="C128"/>
  <c r="B128"/>
  <c r="X127"/>
  <c r="Z127" s="1"/>
  <c r="W127"/>
  <c r="U127"/>
  <c r="R127"/>
  <c r="V127" s="1"/>
  <c r="O127"/>
  <c r="S127" s="1"/>
  <c r="L127"/>
  <c r="N127" s="1"/>
  <c r="K127"/>
  <c r="I127"/>
  <c r="H127"/>
  <c r="G127"/>
  <c r="F127"/>
  <c r="J127" s="1"/>
  <c r="E127"/>
  <c r="D127"/>
  <c r="C127"/>
  <c r="B127"/>
  <c r="X126"/>
  <c r="Z126" s="1"/>
  <c r="W126"/>
  <c r="U126"/>
  <c r="V126" s="1"/>
  <c r="R126"/>
  <c r="O126"/>
  <c r="S126" s="1"/>
  <c r="L126"/>
  <c r="N126" s="1"/>
  <c r="K126"/>
  <c r="I126"/>
  <c r="J126" s="1"/>
  <c r="H126"/>
  <c r="G126"/>
  <c r="F126"/>
  <c r="E126"/>
  <c r="D126"/>
  <c r="C126"/>
  <c r="B126"/>
  <c r="X125"/>
  <c r="Z125" s="1"/>
  <c r="W125"/>
  <c r="U125"/>
  <c r="V125" s="1"/>
  <c r="R125"/>
  <c r="O125"/>
  <c r="S125" s="1"/>
  <c r="L125"/>
  <c r="N125" s="1"/>
  <c r="K125"/>
  <c r="I125"/>
  <c r="J125" s="1"/>
  <c r="H125"/>
  <c r="G125"/>
  <c r="F125"/>
  <c r="E125"/>
  <c r="D125"/>
  <c r="C125"/>
  <c r="B125"/>
  <c r="X124"/>
  <c r="Z124" s="1"/>
  <c r="W124"/>
  <c r="U124"/>
  <c r="V124" s="1"/>
  <c r="R124"/>
  <c r="O124"/>
  <c r="S124" s="1"/>
  <c r="L124"/>
  <c r="N124" s="1"/>
  <c r="K124"/>
  <c r="I124"/>
  <c r="H124"/>
  <c r="G124"/>
  <c r="F124"/>
  <c r="J124" s="1"/>
  <c r="E124"/>
  <c r="D124"/>
  <c r="C124"/>
  <c r="B124"/>
  <c r="X123"/>
  <c r="Z123" s="1"/>
  <c r="W123"/>
  <c r="U123"/>
  <c r="R123"/>
  <c r="V123" s="1"/>
  <c r="O123"/>
  <c r="S123" s="1"/>
  <c r="L123"/>
  <c r="N123" s="1"/>
  <c r="K123"/>
  <c r="I123"/>
  <c r="H123"/>
  <c r="G123"/>
  <c r="F123"/>
  <c r="J123" s="1"/>
  <c r="E123"/>
  <c r="D123"/>
  <c r="C123"/>
  <c r="B123"/>
  <c r="X122"/>
  <c r="Z122" s="1"/>
  <c r="W122"/>
  <c r="U122"/>
  <c r="R122"/>
  <c r="V122" s="1"/>
  <c r="O122"/>
  <c r="S122" s="1"/>
  <c r="L122"/>
  <c r="N122" s="1"/>
  <c r="K122"/>
  <c r="I122"/>
  <c r="H122"/>
  <c r="G122"/>
  <c r="F122"/>
  <c r="J122" s="1"/>
  <c r="E122"/>
  <c r="D122"/>
  <c r="C122"/>
  <c r="B122"/>
  <c r="X121"/>
  <c r="Z121" s="1"/>
  <c r="W121"/>
  <c r="U121"/>
  <c r="R121"/>
  <c r="V121" s="1"/>
  <c r="O121"/>
  <c r="S121" s="1"/>
  <c r="L121"/>
  <c r="N121" s="1"/>
  <c r="K121"/>
  <c r="I121"/>
  <c r="H121"/>
  <c r="G121"/>
  <c r="F121"/>
  <c r="J121" s="1"/>
  <c r="E121"/>
  <c r="D121"/>
  <c r="C121"/>
  <c r="B121"/>
  <c r="X120"/>
  <c r="Z120" s="1"/>
  <c r="W120"/>
  <c r="U120"/>
  <c r="R120"/>
  <c r="V120" s="1"/>
  <c r="O120"/>
  <c r="S120" s="1"/>
  <c r="L120"/>
  <c r="N120" s="1"/>
  <c r="K120"/>
  <c r="I120"/>
  <c r="H120"/>
  <c r="G120"/>
  <c r="F120"/>
  <c r="J120" s="1"/>
  <c r="E120"/>
  <c r="D120"/>
  <c r="C120"/>
  <c r="B120"/>
  <c r="X119"/>
  <c r="Z119" s="1"/>
  <c r="W119"/>
  <c r="U119"/>
  <c r="R119"/>
  <c r="V119" s="1"/>
  <c r="O119"/>
  <c r="S119" s="1"/>
  <c r="L119"/>
  <c r="N119" s="1"/>
  <c r="K119"/>
  <c r="I119"/>
  <c r="H119"/>
  <c r="G119"/>
  <c r="F119"/>
  <c r="J119" s="1"/>
  <c r="E119"/>
  <c r="D119"/>
  <c r="C119"/>
  <c r="B119"/>
  <c r="X118"/>
  <c r="Z118" s="1"/>
  <c r="W118"/>
  <c r="U118"/>
  <c r="R118"/>
  <c r="V118" s="1"/>
  <c r="O118"/>
  <c r="S118" s="1"/>
  <c r="L118"/>
  <c r="N118" s="1"/>
  <c r="K118"/>
  <c r="I118"/>
  <c r="H118"/>
  <c r="G118"/>
  <c r="F118"/>
  <c r="J118" s="1"/>
  <c r="E118"/>
  <c r="D118"/>
  <c r="C118"/>
  <c r="B118"/>
  <c r="X117"/>
  <c r="Z117" s="1"/>
  <c r="W117"/>
  <c r="U117"/>
  <c r="R117"/>
  <c r="V117" s="1"/>
  <c r="O117"/>
  <c r="S117" s="1"/>
  <c r="L117"/>
  <c r="N117" s="1"/>
  <c r="K117"/>
  <c r="I117"/>
  <c r="H117"/>
  <c r="G117"/>
  <c r="F117"/>
  <c r="J117" s="1"/>
  <c r="E117"/>
  <c r="D117"/>
  <c r="C117"/>
  <c r="B117"/>
  <c r="X116"/>
  <c r="Z116" s="1"/>
  <c r="W116"/>
  <c r="U116"/>
  <c r="R116"/>
  <c r="V116" s="1"/>
  <c r="O116"/>
  <c r="S116" s="1"/>
  <c r="L116"/>
  <c r="N116" s="1"/>
  <c r="K116"/>
  <c r="I116"/>
  <c r="H116"/>
  <c r="G116"/>
  <c r="F116"/>
  <c r="J116" s="1"/>
  <c r="E116"/>
  <c r="D116"/>
  <c r="C116"/>
  <c r="B116"/>
  <c r="X115"/>
  <c r="Z115" s="1"/>
  <c r="W115"/>
  <c r="U115"/>
  <c r="R115"/>
  <c r="V115" s="1"/>
  <c r="O115"/>
  <c r="S115" s="1"/>
  <c r="L115"/>
  <c r="N115" s="1"/>
  <c r="K115"/>
  <c r="I115"/>
  <c r="H115"/>
  <c r="G115"/>
  <c r="F115"/>
  <c r="J115" s="1"/>
  <c r="E115"/>
  <c r="D115"/>
  <c r="C115"/>
  <c r="B115"/>
  <c r="X114"/>
  <c r="Z114" s="1"/>
  <c r="W114"/>
  <c r="U114"/>
  <c r="R114"/>
  <c r="V114" s="1"/>
  <c r="O114"/>
  <c r="S114" s="1"/>
  <c r="L114"/>
  <c r="N114" s="1"/>
  <c r="K114"/>
  <c r="I114"/>
  <c r="H114"/>
  <c r="G114"/>
  <c r="F114"/>
  <c r="J114" s="1"/>
  <c r="E114"/>
  <c r="D114"/>
  <c r="C114"/>
  <c r="B114"/>
  <c r="X113"/>
  <c r="Z113" s="1"/>
  <c r="W113"/>
  <c r="U113"/>
  <c r="R113"/>
  <c r="V113" s="1"/>
  <c r="O113"/>
  <c r="S113" s="1"/>
  <c r="L113"/>
  <c r="N113" s="1"/>
  <c r="K113"/>
  <c r="I113"/>
  <c r="H113"/>
  <c r="G113"/>
  <c r="F113"/>
  <c r="J113" s="1"/>
  <c r="E113"/>
  <c r="D113"/>
  <c r="C113"/>
  <c r="B113"/>
  <c r="X112"/>
  <c r="Z112" s="1"/>
  <c r="W112"/>
  <c r="U112"/>
  <c r="R112"/>
  <c r="V112" s="1"/>
  <c r="O112"/>
  <c r="S112" s="1"/>
  <c r="L112"/>
  <c r="N112" s="1"/>
  <c r="K112"/>
  <c r="I112"/>
  <c r="H112"/>
  <c r="G112"/>
  <c r="F112"/>
  <c r="J112" s="1"/>
  <c r="E112"/>
  <c r="D112"/>
  <c r="C112"/>
  <c r="B112"/>
  <c r="X111"/>
  <c r="Z111" s="1"/>
  <c r="W111"/>
  <c r="U111"/>
  <c r="R111"/>
  <c r="V111" s="1"/>
  <c r="O111"/>
  <c r="S111" s="1"/>
  <c r="L111"/>
  <c r="N111" s="1"/>
  <c r="K111"/>
  <c r="I111"/>
  <c r="H111"/>
  <c r="G111"/>
  <c r="F111"/>
  <c r="J111" s="1"/>
  <c r="E111"/>
  <c r="D111"/>
  <c r="C111"/>
  <c r="B111"/>
  <c r="X110"/>
  <c r="Z110" s="1"/>
  <c r="W110"/>
  <c r="U110"/>
  <c r="R110"/>
  <c r="V110" s="1"/>
  <c r="O110"/>
  <c r="S110" s="1"/>
  <c r="L110"/>
  <c r="N110" s="1"/>
  <c r="K110"/>
  <c r="I110"/>
  <c r="H110"/>
  <c r="G110"/>
  <c r="F110"/>
  <c r="J110" s="1"/>
  <c r="E110"/>
  <c r="D110"/>
  <c r="C110"/>
  <c r="B110"/>
  <c r="X109"/>
  <c r="Z109" s="1"/>
  <c r="W109"/>
  <c r="U109"/>
  <c r="R109"/>
  <c r="V109" s="1"/>
  <c r="O109"/>
  <c r="S109" s="1"/>
  <c r="L109"/>
  <c r="N109" s="1"/>
  <c r="K109"/>
  <c r="I109"/>
  <c r="H109"/>
  <c r="G109"/>
  <c r="F109"/>
  <c r="J109" s="1"/>
  <c r="E109"/>
  <c r="D109"/>
  <c r="C109"/>
  <c r="B109"/>
  <c r="X108"/>
  <c r="Z108" s="1"/>
  <c r="W108"/>
  <c r="U108"/>
  <c r="S108"/>
  <c r="R108"/>
  <c r="V108" s="1"/>
  <c r="O108"/>
  <c r="L108"/>
  <c r="N108" s="1"/>
  <c r="K108"/>
  <c r="I108"/>
  <c r="H108"/>
  <c r="G108"/>
  <c r="F108"/>
  <c r="J108" s="1"/>
  <c r="E108"/>
  <c r="D108"/>
  <c r="C108"/>
  <c r="B108"/>
  <c r="X107"/>
  <c r="Z107" s="1"/>
  <c r="W107"/>
  <c r="U107"/>
  <c r="S107"/>
  <c r="R107"/>
  <c r="V107" s="1"/>
  <c r="O107"/>
  <c r="L107"/>
  <c r="N107" s="1"/>
  <c r="K107"/>
  <c r="I107"/>
  <c r="H107"/>
  <c r="G107"/>
  <c r="F107"/>
  <c r="J107" s="1"/>
  <c r="E107"/>
  <c r="D107"/>
  <c r="C107"/>
  <c r="B107"/>
  <c r="X106"/>
  <c r="Z106" s="1"/>
  <c r="W106"/>
  <c r="U106"/>
  <c r="R106"/>
  <c r="V106" s="1"/>
  <c r="O106"/>
  <c r="L106"/>
  <c r="N106" s="1"/>
  <c r="K106"/>
  <c r="I106"/>
  <c r="H106"/>
  <c r="G106"/>
  <c r="F106"/>
  <c r="J106" s="1"/>
  <c r="E106"/>
  <c r="D106"/>
  <c r="C106"/>
  <c r="B106"/>
  <c r="X105"/>
  <c r="Z105" s="1"/>
  <c r="W105"/>
  <c r="U105"/>
  <c r="R105"/>
  <c r="V105" s="1"/>
  <c r="O105"/>
  <c r="S105" s="1"/>
  <c r="L105"/>
  <c r="N105" s="1"/>
  <c r="K105"/>
  <c r="I105"/>
  <c r="H105"/>
  <c r="G105"/>
  <c r="F105"/>
  <c r="J105" s="1"/>
  <c r="E105"/>
  <c r="D105"/>
  <c r="C105"/>
  <c r="B105"/>
  <c r="X104"/>
  <c r="Z104" s="1"/>
  <c r="W104"/>
  <c r="U104"/>
  <c r="R104"/>
  <c r="V104" s="1"/>
  <c r="O104"/>
  <c r="S104" s="1"/>
  <c r="L104"/>
  <c r="N104" s="1"/>
  <c r="K104"/>
  <c r="I104"/>
  <c r="H104"/>
  <c r="G104"/>
  <c r="F104"/>
  <c r="J104" s="1"/>
  <c r="E104"/>
  <c r="D104"/>
  <c r="C104"/>
  <c r="B104"/>
  <c r="X103"/>
  <c r="Z103" s="1"/>
  <c r="W103"/>
  <c r="U103"/>
  <c r="S103"/>
  <c r="R103"/>
  <c r="V103" s="1"/>
  <c r="O103"/>
  <c r="L103"/>
  <c r="N103" s="1"/>
  <c r="K103"/>
  <c r="I103"/>
  <c r="H103"/>
  <c r="G103"/>
  <c r="F103"/>
  <c r="J103" s="1"/>
  <c r="E103"/>
  <c r="D103"/>
  <c r="C103"/>
  <c r="B103"/>
  <c r="X102"/>
  <c r="Z102" s="1"/>
  <c r="W102"/>
  <c r="U102"/>
  <c r="S102"/>
  <c r="R102"/>
  <c r="V102" s="1"/>
  <c r="O102"/>
  <c r="L102"/>
  <c r="N102" s="1"/>
  <c r="K102"/>
  <c r="I102"/>
  <c r="H102"/>
  <c r="G102"/>
  <c r="F102"/>
  <c r="J102" s="1"/>
  <c r="E102"/>
  <c r="D102"/>
  <c r="C102"/>
  <c r="B102"/>
  <c r="X101"/>
  <c r="W101"/>
  <c r="U101"/>
  <c r="R101"/>
  <c r="V101" s="1"/>
  <c r="O101"/>
  <c r="P101" s="1"/>
  <c r="L101"/>
  <c r="K101"/>
  <c r="I101"/>
  <c r="H101"/>
  <c r="G101"/>
  <c r="F101"/>
  <c r="J101" s="1"/>
  <c r="E101"/>
  <c r="D101"/>
  <c r="C101"/>
  <c r="B101"/>
  <c r="X100"/>
  <c r="W100"/>
  <c r="U100"/>
  <c r="S100"/>
  <c r="R100"/>
  <c r="V100" s="1"/>
  <c r="O100"/>
  <c r="P100" s="1"/>
  <c r="L100"/>
  <c r="K100"/>
  <c r="I100"/>
  <c r="H100"/>
  <c r="G100"/>
  <c r="F100"/>
  <c r="J100" s="1"/>
  <c r="E100"/>
  <c r="D100"/>
  <c r="C100"/>
  <c r="B100"/>
  <c r="X99"/>
  <c r="AB99" s="1"/>
  <c r="W99"/>
  <c r="U99"/>
  <c r="R99"/>
  <c r="V99" s="1"/>
  <c r="O99"/>
  <c r="Q99" s="1"/>
  <c r="L99"/>
  <c r="K99"/>
  <c r="I99"/>
  <c r="H99"/>
  <c r="G99"/>
  <c r="F99"/>
  <c r="J99" s="1"/>
  <c r="E99"/>
  <c r="D99"/>
  <c r="C99"/>
  <c r="B99"/>
  <c r="X98"/>
  <c r="AB98" s="1"/>
  <c r="W98"/>
  <c r="U98"/>
  <c r="R98"/>
  <c r="V98" s="1"/>
  <c r="O98"/>
  <c r="Q98" s="1"/>
  <c r="L98"/>
  <c r="K98"/>
  <c r="I98"/>
  <c r="H98"/>
  <c r="G98"/>
  <c r="F98"/>
  <c r="J98" s="1"/>
  <c r="E98"/>
  <c r="D98"/>
  <c r="C98"/>
  <c r="B98"/>
  <c r="X97"/>
  <c r="AB97" s="1"/>
  <c r="W97"/>
  <c r="U97"/>
  <c r="R97"/>
  <c r="V97" s="1"/>
  <c r="O97"/>
  <c r="Q97" s="1"/>
  <c r="L97"/>
  <c r="K97"/>
  <c r="I97"/>
  <c r="H97"/>
  <c r="G97"/>
  <c r="F97"/>
  <c r="J97" s="1"/>
  <c r="E97"/>
  <c r="D97"/>
  <c r="C97"/>
  <c r="B97"/>
  <c r="X96"/>
  <c r="AB96" s="1"/>
  <c r="W96"/>
  <c r="U96"/>
  <c r="R96"/>
  <c r="V96" s="1"/>
  <c r="O96"/>
  <c r="Q96" s="1"/>
  <c r="L96"/>
  <c r="K96"/>
  <c r="I96"/>
  <c r="H96"/>
  <c r="G96"/>
  <c r="F96"/>
  <c r="J96" s="1"/>
  <c r="E96"/>
  <c r="D96"/>
  <c r="C96"/>
  <c r="B96"/>
  <c r="X95"/>
  <c r="AB95" s="1"/>
  <c r="W95"/>
  <c r="U95"/>
  <c r="R95"/>
  <c r="V95" s="1"/>
  <c r="O95"/>
  <c r="Q95" s="1"/>
  <c r="L95"/>
  <c r="K95"/>
  <c r="I95"/>
  <c r="H95"/>
  <c r="G95"/>
  <c r="F95"/>
  <c r="J95" s="1"/>
  <c r="E95"/>
  <c r="D95"/>
  <c r="C95"/>
  <c r="B95"/>
  <c r="X94"/>
  <c r="AB94" s="1"/>
  <c r="W94"/>
  <c r="U94"/>
  <c r="R94"/>
  <c r="V94" s="1"/>
  <c r="O94"/>
  <c r="Q94" s="1"/>
  <c r="L94"/>
  <c r="K94"/>
  <c r="I94"/>
  <c r="H94"/>
  <c r="G94"/>
  <c r="F94"/>
  <c r="J94" s="1"/>
  <c r="E94"/>
  <c r="D94"/>
  <c r="C94"/>
  <c r="B94"/>
  <c r="X93"/>
  <c r="AB93" s="1"/>
  <c r="W93"/>
  <c r="U93"/>
  <c r="R93"/>
  <c r="V93" s="1"/>
  <c r="O93"/>
  <c r="Q93" s="1"/>
  <c r="L93"/>
  <c r="K93"/>
  <c r="I93"/>
  <c r="H93"/>
  <c r="G93"/>
  <c r="F93"/>
  <c r="J93" s="1"/>
  <c r="E93"/>
  <c r="D93"/>
  <c r="C93"/>
  <c r="B93"/>
  <c r="X92"/>
  <c r="AB92" s="1"/>
  <c r="W92"/>
  <c r="U92"/>
  <c r="R92"/>
  <c r="V92" s="1"/>
  <c r="O92"/>
  <c r="Q92" s="1"/>
  <c r="L92"/>
  <c r="K92"/>
  <c r="I92"/>
  <c r="H92"/>
  <c r="G92"/>
  <c r="F92"/>
  <c r="J92" s="1"/>
  <c r="E92"/>
  <c r="D92"/>
  <c r="C92"/>
  <c r="B92"/>
  <c r="X91"/>
  <c r="AB91" s="1"/>
  <c r="W91"/>
  <c r="U91"/>
  <c r="R91"/>
  <c r="V91" s="1"/>
  <c r="O91"/>
  <c r="Q91" s="1"/>
  <c r="L91"/>
  <c r="K91"/>
  <c r="I91"/>
  <c r="H91"/>
  <c r="G91"/>
  <c r="F91"/>
  <c r="J91" s="1"/>
  <c r="E91"/>
  <c r="D91"/>
  <c r="C91"/>
  <c r="B91"/>
  <c r="X90"/>
  <c r="AB90" s="1"/>
  <c r="W90"/>
  <c r="U90"/>
  <c r="R90"/>
  <c r="V90" s="1"/>
  <c r="P90"/>
  <c r="O90"/>
  <c r="Q90" s="1"/>
  <c r="N90"/>
  <c r="L90"/>
  <c r="M90" s="1"/>
  <c r="K90"/>
  <c r="I90"/>
  <c r="G90"/>
  <c r="F90"/>
  <c r="J90" s="1"/>
  <c r="E90"/>
  <c r="D90"/>
  <c r="C90"/>
  <c r="B90"/>
  <c r="Z89"/>
  <c r="X89"/>
  <c r="AB89" s="1"/>
  <c r="AC89" s="1"/>
  <c r="W89"/>
  <c r="U89"/>
  <c r="Y89" s="1"/>
  <c r="R89"/>
  <c r="V89" s="1"/>
  <c r="O89"/>
  <c r="Q89" s="1"/>
  <c r="N89"/>
  <c r="L89"/>
  <c r="K89"/>
  <c r="I89"/>
  <c r="M89" s="1"/>
  <c r="G89"/>
  <c r="F89"/>
  <c r="J89" s="1"/>
  <c r="E89"/>
  <c r="D89"/>
  <c r="C89"/>
  <c r="B89"/>
  <c r="Z88"/>
  <c r="X88"/>
  <c r="AB88" s="1"/>
  <c r="AC88" s="1"/>
  <c r="W88"/>
  <c r="U88"/>
  <c r="Y88" s="1"/>
  <c r="R88"/>
  <c r="V88" s="1"/>
  <c r="O88"/>
  <c r="Q88" s="1"/>
  <c r="N88"/>
  <c r="L88"/>
  <c r="K88"/>
  <c r="I88"/>
  <c r="M88" s="1"/>
  <c r="G88"/>
  <c r="F88"/>
  <c r="J88" s="1"/>
  <c r="E88"/>
  <c r="D88"/>
  <c r="C88"/>
  <c r="B88"/>
  <c r="Z87"/>
  <c r="X87"/>
  <c r="AB87" s="1"/>
  <c r="AC87" s="1"/>
  <c r="W87"/>
  <c r="U87"/>
  <c r="Y87" s="1"/>
  <c r="R87"/>
  <c r="V87" s="1"/>
  <c r="O87"/>
  <c r="Q87" s="1"/>
  <c r="N87"/>
  <c r="L87"/>
  <c r="K87"/>
  <c r="I87"/>
  <c r="M87" s="1"/>
  <c r="G87"/>
  <c r="F87"/>
  <c r="J87" s="1"/>
  <c r="E87"/>
  <c r="D87"/>
  <c r="C87"/>
  <c r="B87"/>
  <c r="Z86"/>
  <c r="X86"/>
  <c r="AB86" s="1"/>
  <c r="AC86" s="1"/>
  <c r="W86"/>
  <c r="U86"/>
  <c r="Y86" s="1"/>
  <c r="R86"/>
  <c r="V86" s="1"/>
  <c r="O86"/>
  <c r="Q86" s="1"/>
  <c r="N86"/>
  <c r="L86"/>
  <c r="K86"/>
  <c r="I86"/>
  <c r="M86" s="1"/>
  <c r="G86"/>
  <c r="F86"/>
  <c r="J86" s="1"/>
  <c r="E86"/>
  <c r="D86"/>
  <c r="C86"/>
  <c r="B86"/>
  <c r="Z85"/>
  <c r="X85"/>
  <c r="AB85" s="1"/>
  <c r="AC85" s="1"/>
  <c r="W85"/>
  <c r="U85"/>
  <c r="Y85" s="1"/>
  <c r="R85"/>
  <c r="V85" s="1"/>
  <c r="O85"/>
  <c r="Q85" s="1"/>
  <c r="N85"/>
  <c r="L85"/>
  <c r="K85"/>
  <c r="I85"/>
  <c r="M85" s="1"/>
  <c r="G85"/>
  <c r="F85"/>
  <c r="J85" s="1"/>
  <c r="E85"/>
  <c r="D85"/>
  <c r="C85"/>
  <c r="B85"/>
  <c r="Z84"/>
  <c r="X84"/>
  <c r="AB84" s="1"/>
  <c r="AC84" s="1"/>
  <c r="W84"/>
  <c r="U84"/>
  <c r="Y84" s="1"/>
  <c r="R84"/>
  <c r="V84" s="1"/>
  <c r="O84"/>
  <c r="Q84" s="1"/>
  <c r="N84"/>
  <c r="L84"/>
  <c r="K84"/>
  <c r="I84"/>
  <c r="M84" s="1"/>
  <c r="G84"/>
  <c r="F84"/>
  <c r="J84" s="1"/>
  <c r="E84"/>
  <c r="D84"/>
  <c r="C84"/>
  <c r="B84"/>
  <c r="Z83"/>
  <c r="X83"/>
  <c r="AB83" s="1"/>
  <c r="AC83" s="1"/>
  <c r="W83"/>
  <c r="U83"/>
  <c r="Y83" s="1"/>
  <c r="R83"/>
  <c r="V83" s="1"/>
  <c r="O83"/>
  <c r="Q83" s="1"/>
  <c r="N83"/>
  <c r="L83"/>
  <c r="K83"/>
  <c r="I83"/>
  <c r="M83" s="1"/>
  <c r="G83"/>
  <c r="F83"/>
  <c r="J83" s="1"/>
  <c r="E83"/>
  <c r="D83"/>
  <c r="C83"/>
  <c r="B83"/>
  <c r="Z82"/>
  <c r="X82"/>
  <c r="AB82" s="1"/>
  <c r="AC82" s="1"/>
  <c r="W82"/>
  <c r="U82"/>
  <c r="Y82" s="1"/>
  <c r="R82"/>
  <c r="V82" s="1"/>
  <c r="O82"/>
  <c r="Q82" s="1"/>
  <c r="N82"/>
  <c r="L82"/>
  <c r="K82"/>
  <c r="I82"/>
  <c r="M82" s="1"/>
  <c r="G82"/>
  <c r="F82"/>
  <c r="J82" s="1"/>
  <c r="E82"/>
  <c r="D82"/>
  <c r="C82"/>
  <c r="B82"/>
  <c r="Z81"/>
  <c r="X81"/>
  <c r="AB81" s="1"/>
  <c r="AC81" s="1"/>
  <c r="W81"/>
  <c r="U81"/>
  <c r="Y81" s="1"/>
  <c r="R81"/>
  <c r="V81" s="1"/>
  <c r="O81"/>
  <c r="Q81" s="1"/>
  <c r="N81"/>
  <c r="L81"/>
  <c r="K81"/>
  <c r="I81"/>
  <c r="M81" s="1"/>
  <c r="G81"/>
  <c r="F81"/>
  <c r="J81" s="1"/>
  <c r="E81"/>
  <c r="D81"/>
  <c r="C81"/>
  <c r="B81"/>
  <c r="Z80"/>
  <c r="X80"/>
  <c r="AB80" s="1"/>
  <c r="AC80" s="1"/>
  <c r="W80"/>
  <c r="U80"/>
  <c r="Y80" s="1"/>
  <c r="R80"/>
  <c r="V80" s="1"/>
  <c r="O80"/>
  <c r="Q80" s="1"/>
  <c r="N80"/>
  <c r="L80"/>
  <c r="K80"/>
  <c r="I80"/>
  <c r="M80" s="1"/>
  <c r="G80"/>
  <c r="F80"/>
  <c r="J80" s="1"/>
  <c r="E80"/>
  <c r="D80"/>
  <c r="C80"/>
  <c r="B80"/>
  <c r="Z79"/>
  <c r="X79"/>
  <c r="AB79" s="1"/>
  <c r="AC79" s="1"/>
  <c r="W79"/>
  <c r="U79"/>
  <c r="Y79" s="1"/>
  <c r="R79"/>
  <c r="V79" s="1"/>
  <c r="O79"/>
  <c r="Q79" s="1"/>
  <c r="N79"/>
  <c r="L79"/>
  <c r="K79"/>
  <c r="I79"/>
  <c r="M79" s="1"/>
  <c r="G79"/>
  <c r="F79"/>
  <c r="J79" s="1"/>
  <c r="E79"/>
  <c r="D79"/>
  <c r="C79"/>
  <c r="B79"/>
  <c r="Z78"/>
  <c r="X78"/>
  <c r="AB78" s="1"/>
  <c r="AC78" s="1"/>
  <c r="W78"/>
  <c r="U78"/>
  <c r="Y78" s="1"/>
  <c r="R78"/>
  <c r="V78" s="1"/>
  <c r="O78"/>
  <c r="Q78" s="1"/>
  <c r="N78"/>
  <c r="L78"/>
  <c r="K78"/>
  <c r="I78"/>
  <c r="M78" s="1"/>
  <c r="G78"/>
  <c r="F78"/>
  <c r="J78" s="1"/>
  <c r="E78"/>
  <c r="D78"/>
  <c r="C78"/>
  <c r="B78"/>
  <c r="Z77"/>
  <c r="X77"/>
  <c r="AB77" s="1"/>
  <c r="AC77" s="1"/>
  <c r="W77"/>
  <c r="U77"/>
  <c r="Y77" s="1"/>
  <c r="R77"/>
  <c r="V77" s="1"/>
  <c r="O77"/>
  <c r="Q77" s="1"/>
  <c r="N77"/>
  <c r="L77"/>
  <c r="K77"/>
  <c r="I77"/>
  <c r="M77" s="1"/>
  <c r="G77"/>
  <c r="F77"/>
  <c r="J77" s="1"/>
  <c r="E77"/>
  <c r="D77"/>
  <c r="C77"/>
  <c r="B77"/>
  <c r="Z76"/>
  <c r="X76"/>
  <c r="AB76" s="1"/>
  <c r="AC76" s="1"/>
  <c r="W76"/>
  <c r="U76"/>
  <c r="Y76" s="1"/>
  <c r="R76"/>
  <c r="V76" s="1"/>
  <c r="O76"/>
  <c r="Q76" s="1"/>
  <c r="N76"/>
  <c r="L76"/>
  <c r="K76"/>
  <c r="I76"/>
  <c r="M76" s="1"/>
  <c r="G76"/>
  <c r="F76"/>
  <c r="J76" s="1"/>
  <c r="E76"/>
  <c r="D76"/>
  <c r="C76"/>
  <c r="B76"/>
  <c r="Z75"/>
  <c r="X75"/>
  <c r="AB75" s="1"/>
  <c r="AC75" s="1"/>
  <c r="W75"/>
  <c r="U75"/>
  <c r="Y75" s="1"/>
  <c r="R75"/>
  <c r="V75" s="1"/>
  <c r="O75"/>
  <c r="Q75" s="1"/>
  <c r="N75"/>
  <c r="L75"/>
  <c r="K75"/>
  <c r="I75"/>
  <c r="M75" s="1"/>
  <c r="G75"/>
  <c r="F75"/>
  <c r="J75" s="1"/>
  <c r="E75"/>
  <c r="D75"/>
  <c r="C75"/>
  <c r="B75"/>
  <c r="Z74"/>
  <c r="X74"/>
  <c r="AB74" s="1"/>
  <c r="AC74" s="1"/>
  <c r="W74"/>
  <c r="U74"/>
  <c r="Y74" s="1"/>
  <c r="R74"/>
  <c r="V74" s="1"/>
  <c r="O74"/>
  <c r="Q74" s="1"/>
  <c r="N74"/>
  <c r="L74"/>
  <c r="K74"/>
  <c r="I74"/>
  <c r="M74" s="1"/>
  <c r="G74"/>
  <c r="F74"/>
  <c r="J74" s="1"/>
  <c r="E74"/>
  <c r="D74"/>
  <c r="C74"/>
  <c r="B74"/>
  <c r="Z73"/>
  <c r="X73"/>
  <c r="AB73" s="1"/>
  <c r="AC73" s="1"/>
  <c r="W73"/>
  <c r="U73"/>
  <c r="Y73" s="1"/>
  <c r="R73"/>
  <c r="V73" s="1"/>
  <c r="O73"/>
  <c r="Q73" s="1"/>
  <c r="N73"/>
  <c r="L73"/>
  <c r="K73"/>
  <c r="I73"/>
  <c r="M73" s="1"/>
  <c r="G73"/>
  <c r="F73"/>
  <c r="J73" s="1"/>
  <c r="E73"/>
  <c r="D73"/>
  <c r="C73"/>
  <c r="B73"/>
  <c r="Z72"/>
  <c r="X72"/>
  <c r="AB72" s="1"/>
  <c r="AC72" s="1"/>
  <c r="W72"/>
  <c r="U72"/>
  <c r="Y72" s="1"/>
  <c r="R72"/>
  <c r="V72" s="1"/>
  <c r="O72"/>
  <c r="Q72" s="1"/>
  <c r="N72"/>
  <c r="L72"/>
  <c r="K72"/>
  <c r="I72"/>
  <c r="M72" s="1"/>
  <c r="G72"/>
  <c r="F72"/>
  <c r="J72" s="1"/>
  <c r="E72"/>
  <c r="D72"/>
  <c r="C72"/>
  <c r="B72"/>
  <c r="Z71"/>
  <c r="X71"/>
  <c r="AB71" s="1"/>
  <c r="AC71" s="1"/>
  <c r="W71"/>
  <c r="U71"/>
  <c r="Y71" s="1"/>
  <c r="R71"/>
  <c r="V71" s="1"/>
  <c r="O71"/>
  <c r="Q71" s="1"/>
  <c r="N71"/>
  <c r="L71"/>
  <c r="K71"/>
  <c r="I71"/>
  <c r="M71" s="1"/>
  <c r="G71"/>
  <c r="F71"/>
  <c r="J71" s="1"/>
  <c r="E71"/>
  <c r="D71"/>
  <c r="C71"/>
  <c r="B71"/>
  <c r="Z70"/>
  <c r="X70"/>
  <c r="AB70" s="1"/>
  <c r="AC70" s="1"/>
  <c r="W70"/>
  <c r="U70"/>
  <c r="Y70" s="1"/>
  <c r="R70"/>
  <c r="V70" s="1"/>
  <c r="O70"/>
  <c r="Q70" s="1"/>
  <c r="N70"/>
  <c r="L70"/>
  <c r="K70"/>
  <c r="I70"/>
  <c r="M70" s="1"/>
  <c r="G70"/>
  <c r="F70"/>
  <c r="J70" s="1"/>
  <c r="E70"/>
  <c r="D70"/>
  <c r="C70"/>
  <c r="B70"/>
  <c r="Z69"/>
  <c r="X69"/>
  <c r="AB69" s="1"/>
  <c r="AC69" s="1"/>
  <c r="W69"/>
  <c r="U69"/>
  <c r="Y69" s="1"/>
  <c r="R69"/>
  <c r="V69" s="1"/>
  <c r="O69"/>
  <c r="Q69" s="1"/>
  <c r="N69"/>
  <c r="L69"/>
  <c r="K69"/>
  <c r="I69"/>
  <c r="M69" s="1"/>
  <c r="G69"/>
  <c r="F69"/>
  <c r="J69" s="1"/>
  <c r="E69"/>
  <c r="D69"/>
  <c r="C69"/>
  <c r="B69"/>
  <c r="Z68"/>
  <c r="X68"/>
  <c r="AB68" s="1"/>
  <c r="AC68" s="1"/>
  <c r="W68"/>
  <c r="U68"/>
  <c r="Y68" s="1"/>
  <c r="R68"/>
  <c r="V68" s="1"/>
  <c r="O68"/>
  <c r="Q68" s="1"/>
  <c r="N68"/>
  <c r="L68"/>
  <c r="K68"/>
  <c r="I68"/>
  <c r="M68" s="1"/>
  <c r="G68"/>
  <c r="F68"/>
  <c r="J68" s="1"/>
  <c r="E68"/>
  <c r="D68"/>
  <c r="C68"/>
  <c r="B68"/>
  <c r="Z67"/>
  <c r="X67"/>
  <c r="AB67" s="1"/>
  <c r="AC67" s="1"/>
  <c r="W67"/>
  <c r="U67"/>
  <c r="Y67" s="1"/>
  <c r="R67"/>
  <c r="V67" s="1"/>
  <c r="O67"/>
  <c r="Q67" s="1"/>
  <c r="N67"/>
  <c r="L67"/>
  <c r="K67"/>
  <c r="I67"/>
  <c r="M67" s="1"/>
  <c r="G67"/>
  <c r="F67"/>
  <c r="J67" s="1"/>
  <c r="E67"/>
  <c r="D67"/>
  <c r="C67"/>
  <c r="B67"/>
  <c r="Z66"/>
  <c r="X66"/>
  <c r="AB66" s="1"/>
  <c r="AC66" s="1"/>
  <c r="W66"/>
  <c r="U66"/>
  <c r="Y66" s="1"/>
  <c r="R66"/>
  <c r="V66" s="1"/>
  <c r="O66"/>
  <c r="Q66" s="1"/>
  <c r="N66"/>
  <c r="L66"/>
  <c r="K66"/>
  <c r="I66"/>
  <c r="M66" s="1"/>
  <c r="G66"/>
  <c r="F66"/>
  <c r="J66" s="1"/>
  <c r="E66"/>
  <c r="D66"/>
  <c r="C66"/>
  <c r="B66"/>
  <c r="Z65"/>
  <c r="X65"/>
  <c r="AB65" s="1"/>
  <c r="AC65" s="1"/>
  <c r="W65"/>
  <c r="U65"/>
  <c r="Y65" s="1"/>
  <c r="R65"/>
  <c r="V65" s="1"/>
  <c r="O65"/>
  <c r="Q65" s="1"/>
  <c r="N65"/>
  <c r="L65"/>
  <c r="K65"/>
  <c r="I65"/>
  <c r="M65" s="1"/>
  <c r="G65"/>
  <c r="F65"/>
  <c r="J65" s="1"/>
  <c r="E65"/>
  <c r="D65"/>
  <c r="C65"/>
  <c r="B65"/>
  <c r="Z64"/>
  <c r="X64"/>
  <c r="AB64" s="1"/>
  <c r="AC64" s="1"/>
  <c r="W64"/>
  <c r="U64"/>
  <c r="Y64" s="1"/>
  <c r="R64"/>
  <c r="V64" s="1"/>
  <c r="O64"/>
  <c r="Q64" s="1"/>
  <c r="N64"/>
  <c r="L64"/>
  <c r="K64"/>
  <c r="I64"/>
  <c r="M64" s="1"/>
  <c r="G64"/>
  <c r="F64"/>
  <c r="J64" s="1"/>
  <c r="E64"/>
  <c r="D64"/>
  <c r="C64"/>
  <c r="B64"/>
  <c r="Z63"/>
  <c r="X63"/>
  <c r="W63"/>
  <c r="U63"/>
  <c r="R63"/>
  <c r="V63" s="1"/>
  <c r="O63"/>
  <c r="Q63" s="1"/>
  <c r="N63"/>
  <c r="L63"/>
  <c r="M63" s="1"/>
  <c r="K63"/>
  <c r="I63"/>
  <c r="G63"/>
  <c r="F63"/>
  <c r="J63" s="1"/>
  <c r="E63"/>
  <c r="D63"/>
  <c r="C63"/>
  <c r="B63"/>
  <c r="Z62"/>
  <c r="X62"/>
  <c r="W62"/>
  <c r="U62"/>
  <c r="R62"/>
  <c r="V62" s="1"/>
  <c r="O62"/>
  <c r="Q62" s="1"/>
  <c r="N62"/>
  <c r="L62"/>
  <c r="M62" s="1"/>
  <c r="K62"/>
  <c r="I62"/>
  <c r="G62"/>
  <c r="F62"/>
  <c r="J62" s="1"/>
  <c r="E62"/>
  <c r="D62"/>
  <c r="C62"/>
  <c r="B62"/>
  <c r="Z61"/>
  <c r="X61"/>
  <c r="W61"/>
  <c r="U61"/>
  <c r="R61"/>
  <c r="V61" s="1"/>
  <c r="O61"/>
  <c r="Q61" s="1"/>
  <c r="N61"/>
  <c r="L61"/>
  <c r="M61" s="1"/>
  <c r="K61"/>
  <c r="I61"/>
  <c r="G61"/>
  <c r="F61"/>
  <c r="J61" s="1"/>
  <c r="E61"/>
  <c r="D61"/>
  <c r="C61"/>
  <c r="B61"/>
  <c r="Z60"/>
  <c r="X60"/>
  <c r="W60"/>
  <c r="U60"/>
  <c r="R60"/>
  <c r="V60" s="1"/>
  <c r="O60"/>
  <c r="Q60" s="1"/>
  <c r="N60"/>
  <c r="L60"/>
  <c r="M60" s="1"/>
  <c r="K60"/>
  <c r="I60"/>
  <c r="G60"/>
  <c r="F60"/>
  <c r="J60" s="1"/>
  <c r="E60"/>
  <c r="D60"/>
  <c r="C60"/>
  <c r="B60"/>
  <c r="Z59"/>
  <c r="X59"/>
  <c r="W59"/>
  <c r="U59"/>
  <c r="R59"/>
  <c r="V59" s="1"/>
  <c r="O59"/>
  <c r="Q59" s="1"/>
  <c r="N59"/>
  <c r="L59"/>
  <c r="M59" s="1"/>
  <c r="K59"/>
  <c r="I59"/>
  <c r="G59"/>
  <c r="F59"/>
  <c r="J59" s="1"/>
  <c r="E59"/>
  <c r="D59"/>
  <c r="C59"/>
  <c r="B59"/>
  <c r="Z58"/>
  <c r="X58"/>
  <c r="W58"/>
  <c r="U58"/>
  <c r="R58"/>
  <c r="V58" s="1"/>
  <c r="O58"/>
  <c r="Q58" s="1"/>
  <c r="N58"/>
  <c r="L58"/>
  <c r="M58" s="1"/>
  <c r="K58"/>
  <c r="I58"/>
  <c r="G58"/>
  <c r="F58"/>
  <c r="J58" s="1"/>
  <c r="E58"/>
  <c r="D58"/>
  <c r="C58"/>
  <c r="B58"/>
  <c r="Z57"/>
  <c r="X57"/>
  <c r="W57"/>
  <c r="U57"/>
  <c r="R57"/>
  <c r="V57" s="1"/>
  <c r="O57"/>
  <c r="Q57" s="1"/>
  <c r="N57"/>
  <c r="L57"/>
  <c r="M57" s="1"/>
  <c r="K57"/>
  <c r="I57"/>
  <c r="G57"/>
  <c r="F57"/>
  <c r="J57" s="1"/>
  <c r="E57"/>
  <c r="D57"/>
  <c r="C57"/>
  <c r="B57"/>
  <c r="Z56"/>
  <c r="X56"/>
  <c r="W56"/>
  <c r="U56"/>
  <c r="R56"/>
  <c r="V56" s="1"/>
  <c r="O56"/>
  <c r="Q56" s="1"/>
  <c r="N56"/>
  <c r="L56"/>
  <c r="M56" s="1"/>
  <c r="K56"/>
  <c r="I56"/>
  <c r="G56"/>
  <c r="F56"/>
  <c r="J56" s="1"/>
  <c r="E56"/>
  <c r="D56"/>
  <c r="C56"/>
  <c r="B56"/>
  <c r="Z55"/>
  <c r="X55"/>
  <c r="W55"/>
  <c r="U55"/>
  <c r="R55"/>
  <c r="V55" s="1"/>
  <c r="O55"/>
  <c r="Q55" s="1"/>
  <c r="N55"/>
  <c r="L55"/>
  <c r="M55" s="1"/>
  <c r="K55"/>
  <c r="I55"/>
  <c r="G55"/>
  <c r="F55"/>
  <c r="J55" s="1"/>
  <c r="E55"/>
  <c r="D55"/>
  <c r="C55"/>
  <c r="B55"/>
  <c r="Z54"/>
  <c r="X54"/>
  <c r="W54"/>
  <c r="U54"/>
  <c r="R54"/>
  <c r="V54" s="1"/>
  <c r="O54"/>
  <c r="Q54" s="1"/>
  <c r="N54"/>
  <c r="L54"/>
  <c r="M54" s="1"/>
  <c r="K54"/>
  <c r="I54"/>
  <c r="G54"/>
  <c r="F54"/>
  <c r="J54" s="1"/>
  <c r="E54"/>
  <c r="D54"/>
  <c r="C54"/>
  <c r="B54"/>
  <c r="Z53"/>
  <c r="X53"/>
  <c r="W53"/>
  <c r="U53"/>
  <c r="R53"/>
  <c r="V53" s="1"/>
  <c r="O53"/>
  <c r="Q53" s="1"/>
  <c r="N53"/>
  <c r="L53"/>
  <c r="M53" s="1"/>
  <c r="K53"/>
  <c r="I53"/>
  <c r="G53"/>
  <c r="F53"/>
  <c r="J53" s="1"/>
  <c r="E53"/>
  <c r="D53"/>
  <c r="C53"/>
  <c r="B53"/>
  <c r="Z52"/>
  <c r="X52"/>
  <c r="W52"/>
  <c r="U52"/>
  <c r="R52"/>
  <c r="V52" s="1"/>
  <c r="O52"/>
  <c r="Q52" s="1"/>
  <c r="N52"/>
  <c r="L52"/>
  <c r="M52" s="1"/>
  <c r="K52"/>
  <c r="I52"/>
  <c r="G52"/>
  <c r="F52"/>
  <c r="J52" s="1"/>
  <c r="E52"/>
  <c r="D52"/>
  <c r="C52"/>
  <c r="B52"/>
  <c r="Z51"/>
  <c r="X51"/>
  <c r="W51"/>
  <c r="U51"/>
  <c r="R51"/>
  <c r="V51" s="1"/>
  <c r="O51"/>
  <c r="Q51" s="1"/>
  <c r="N51"/>
  <c r="L51"/>
  <c r="M51" s="1"/>
  <c r="K51"/>
  <c r="I51"/>
  <c r="G51"/>
  <c r="F51"/>
  <c r="J51" s="1"/>
  <c r="E51"/>
  <c r="D51"/>
  <c r="C51"/>
  <c r="B51"/>
  <c r="Z50"/>
  <c r="X50"/>
  <c r="W50"/>
  <c r="U50"/>
  <c r="R50"/>
  <c r="V50" s="1"/>
  <c r="O50"/>
  <c r="Q50" s="1"/>
  <c r="N50"/>
  <c r="L50"/>
  <c r="M50" s="1"/>
  <c r="K50"/>
  <c r="I50"/>
  <c r="G50"/>
  <c r="F50"/>
  <c r="J50" s="1"/>
  <c r="E50"/>
  <c r="D50"/>
  <c r="C50"/>
  <c r="B50"/>
  <c r="Z49"/>
  <c r="X49"/>
  <c r="W49"/>
  <c r="U49"/>
  <c r="R49"/>
  <c r="V49" s="1"/>
  <c r="O49"/>
  <c r="Q49" s="1"/>
  <c r="N49"/>
  <c r="L49"/>
  <c r="M49" s="1"/>
  <c r="K49"/>
  <c r="I49"/>
  <c r="G49"/>
  <c r="F49"/>
  <c r="J49" s="1"/>
  <c r="E49"/>
  <c r="D49"/>
  <c r="C49"/>
  <c r="B49"/>
  <c r="Z48"/>
  <c r="X48"/>
  <c r="W48"/>
  <c r="U48"/>
  <c r="R48"/>
  <c r="V48" s="1"/>
  <c r="O48"/>
  <c r="Q48" s="1"/>
  <c r="N48"/>
  <c r="L48"/>
  <c r="M48" s="1"/>
  <c r="K48"/>
  <c r="I48"/>
  <c r="G48"/>
  <c r="F48"/>
  <c r="J48" s="1"/>
  <c r="E48"/>
  <c r="D48"/>
  <c r="C48"/>
  <c r="B48"/>
  <c r="Z47"/>
  <c r="X47"/>
  <c r="W47"/>
  <c r="U47"/>
  <c r="R47"/>
  <c r="V47" s="1"/>
  <c r="O47"/>
  <c r="Q47" s="1"/>
  <c r="N47"/>
  <c r="L47"/>
  <c r="M47" s="1"/>
  <c r="K47"/>
  <c r="I47"/>
  <c r="G47"/>
  <c r="F47"/>
  <c r="J47" s="1"/>
  <c r="E47"/>
  <c r="D47"/>
  <c r="C47"/>
  <c r="B47"/>
  <c r="Z46"/>
  <c r="X46"/>
  <c r="W46"/>
  <c r="U46"/>
  <c r="R46"/>
  <c r="V46" s="1"/>
  <c r="O46"/>
  <c r="Q46" s="1"/>
  <c r="N46"/>
  <c r="L46"/>
  <c r="M46" s="1"/>
  <c r="K46"/>
  <c r="I46"/>
  <c r="G46"/>
  <c r="F46"/>
  <c r="J46" s="1"/>
  <c r="E46"/>
  <c r="D46"/>
  <c r="C46"/>
  <c r="B46"/>
  <c r="Z45"/>
  <c r="X45"/>
  <c r="W45"/>
  <c r="U45"/>
  <c r="R45"/>
  <c r="V45" s="1"/>
  <c r="O45"/>
  <c r="Q45" s="1"/>
  <c r="N45"/>
  <c r="L45"/>
  <c r="M45" s="1"/>
  <c r="K45"/>
  <c r="I45"/>
  <c r="G45"/>
  <c r="F45"/>
  <c r="J45" s="1"/>
  <c r="E45"/>
  <c r="D45"/>
  <c r="C45"/>
  <c r="B45"/>
  <c r="Z44"/>
  <c r="X44"/>
  <c r="W44"/>
  <c r="U44"/>
  <c r="R44"/>
  <c r="V44" s="1"/>
  <c r="O44"/>
  <c r="Q44" s="1"/>
  <c r="N44"/>
  <c r="L44"/>
  <c r="M44" s="1"/>
  <c r="K44"/>
  <c r="I44"/>
  <c r="G44"/>
  <c r="F44"/>
  <c r="J44" s="1"/>
  <c r="E44"/>
  <c r="D44"/>
  <c r="C44"/>
  <c r="B44"/>
  <c r="Z43"/>
  <c r="X43"/>
  <c r="W43"/>
  <c r="U43"/>
  <c r="R43"/>
  <c r="V43" s="1"/>
  <c r="O43"/>
  <c r="Q43" s="1"/>
  <c r="N43"/>
  <c r="L43"/>
  <c r="M43" s="1"/>
  <c r="K43"/>
  <c r="I43"/>
  <c r="G43"/>
  <c r="F43"/>
  <c r="J43" s="1"/>
  <c r="E43"/>
  <c r="D43"/>
  <c r="C43"/>
  <c r="B43"/>
  <c r="Z42"/>
  <c r="X42"/>
  <c r="W42"/>
  <c r="U42"/>
  <c r="R42"/>
  <c r="V42" s="1"/>
  <c r="O42"/>
  <c r="Q42" s="1"/>
  <c r="N42"/>
  <c r="L42"/>
  <c r="M42" s="1"/>
  <c r="K42"/>
  <c r="I42"/>
  <c r="G42"/>
  <c r="F42"/>
  <c r="J42" s="1"/>
  <c r="E42"/>
  <c r="D42"/>
  <c r="C42"/>
  <c r="B42"/>
  <c r="Z41"/>
  <c r="X41"/>
  <c r="W41"/>
  <c r="U41"/>
  <c r="R41"/>
  <c r="V41" s="1"/>
  <c r="O41"/>
  <c r="Q41" s="1"/>
  <c r="N41"/>
  <c r="L41"/>
  <c r="M41" s="1"/>
  <c r="K41"/>
  <c r="I41"/>
  <c r="G41"/>
  <c r="F41"/>
  <c r="J41" s="1"/>
  <c r="E41"/>
  <c r="D41"/>
  <c r="C41"/>
  <c r="B41"/>
  <c r="Z40"/>
  <c r="X40"/>
  <c r="W40"/>
  <c r="U40"/>
  <c r="R40"/>
  <c r="V40" s="1"/>
  <c r="O40"/>
  <c r="Q40" s="1"/>
  <c r="N40"/>
  <c r="L40"/>
  <c r="M40" s="1"/>
  <c r="K40"/>
  <c r="I40"/>
  <c r="G40"/>
  <c r="F40"/>
  <c r="J40" s="1"/>
  <c r="E40"/>
  <c r="D40"/>
  <c r="C40"/>
  <c r="B40"/>
  <c r="Z39"/>
  <c r="X39"/>
  <c r="W39"/>
  <c r="U39"/>
  <c r="R39"/>
  <c r="V39" s="1"/>
  <c r="O39"/>
  <c r="Q39" s="1"/>
  <c r="N39"/>
  <c r="L39"/>
  <c r="M39" s="1"/>
  <c r="K39"/>
  <c r="I39"/>
  <c r="G39"/>
  <c r="F39"/>
  <c r="J39" s="1"/>
  <c r="E39"/>
  <c r="D39"/>
  <c r="C39"/>
  <c r="B39"/>
  <c r="Z38"/>
  <c r="X38"/>
  <c r="W38"/>
  <c r="U38"/>
  <c r="R38"/>
  <c r="V38" s="1"/>
  <c r="O38"/>
  <c r="Q38" s="1"/>
  <c r="N38"/>
  <c r="L38"/>
  <c r="M38" s="1"/>
  <c r="K38"/>
  <c r="I38"/>
  <c r="G38"/>
  <c r="F38"/>
  <c r="J38" s="1"/>
  <c r="E38"/>
  <c r="D38"/>
  <c r="C38"/>
  <c r="B38"/>
  <c r="Z37"/>
  <c r="X37"/>
  <c r="W37"/>
  <c r="U37"/>
  <c r="R37"/>
  <c r="V37" s="1"/>
  <c r="O37"/>
  <c r="Q37" s="1"/>
  <c r="N37"/>
  <c r="L37"/>
  <c r="M37" s="1"/>
  <c r="K37"/>
  <c r="I37"/>
  <c r="G37"/>
  <c r="F37"/>
  <c r="J37" s="1"/>
  <c r="E37"/>
  <c r="D37"/>
  <c r="C37"/>
  <c r="B37"/>
  <c r="Z36"/>
  <c r="X36"/>
  <c r="W36"/>
  <c r="U36"/>
  <c r="R36"/>
  <c r="V36" s="1"/>
  <c r="O36"/>
  <c r="Q36" s="1"/>
  <c r="N36"/>
  <c r="L36"/>
  <c r="M36" s="1"/>
  <c r="K36"/>
  <c r="I36"/>
  <c r="G36"/>
  <c r="F36"/>
  <c r="J36" s="1"/>
  <c r="E36"/>
  <c r="D36"/>
  <c r="C36"/>
  <c r="B36"/>
  <c r="Z35"/>
  <c r="X35"/>
  <c r="W35"/>
  <c r="U35"/>
  <c r="R35"/>
  <c r="V35" s="1"/>
  <c r="O35"/>
  <c r="Q35" s="1"/>
  <c r="N35"/>
  <c r="L35"/>
  <c r="M35" s="1"/>
  <c r="K35"/>
  <c r="I35"/>
  <c r="G35"/>
  <c r="F35"/>
  <c r="J35" s="1"/>
  <c r="E35"/>
  <c r="D35"/>
  <c r="C35"/>
  <c r="B35"/>
  <c r="Z34"/>
  <c r="X34"/>
  <c r="W34"/>
  <c r="U34"/>
  <c r="R34"/>
  <c r="V34" s="1"/>
  <c r="O34"/>
  <c r="Q34" s="1"/>
  <c r="N34"/>
  <c r="L34"/>
  <c r="M34" s="1"/>
  <c r="K34"/>
  <c r="I34"/>
  <c r="G34"/>
  <c r="F34"/>
  <c r="J34" s="1"/>
  <c r="E34"/>
  <c r="D34"/>
  <c r="C34"/>
  <c r="B34"/>
  <c r="Z33"/>
  <c r="X33"/>
  <c r="W33"/>
  <c r="U33"/>
  <c r="R33"/>
  <c r="V33" s="1"/>
  <c r="O33"/>
  <c r="Q33" s="1"/>
  <c r="N33"/>
  <c r="L33"/>
  <c r="M33" s="1"/>
  <c r="K33"/>
  <c r="I33"/>
  <c r="G33"/>
  <c r="F33"/>
  <c r="J33" s="1"/>
  <c r="E33"/>
  <c r="D33"/>
  <c r="C33"/>
  <c r="B33"/>
  <c r="Z32"/>
  <c r="X32"/>
  <c r="W32"/>
  <c r="U32"/>
  <c r="R32"/>
  <c r="V32" s="1"/>
  <c r="O32"/>
  <c r="Q32" s="1"/>
  <c r="N32"/>
  <c r="L32"/>
  <c r="M32" s="1"/>
  <c r="K32"/>
  <c r="I32"/>
  <c r="G32"/>
  <c r="F32"/>
  <c r="J32" s="1"/>
  <c r="E32"/>
  <c r="D32"/>
  <c r="C32"/>
  <c r="B32"/>
  <c r="Z31"/>
  <c r="X31"/>
  <c r="W31"/>
  <c r="U31"/>
  <c r="R31"/>
  <c r="V31" s="1"/>
  <c r="O31"/>
  <c r="Q31" s="1"/>
  <c r="N31"/>
  <c r="L31"/>
  <c r="M31" s="1"/>
  <c r="K31"/>
  <c r="I31"/>
  <c r="G31"/>
  <c r="F31"/>
  <c r="J31" s="1"/>
  <c r="E31"/>
  <c r="D31"/>
  <c r="C31"/>
  <c r="B31"/>
  <c r="Z30"/>
  <c r="X30"/>
  <c r="W30"/>
  <c r="U30"/>
  <c r="R30"/>
  <c r="V30" s="1"/>
  <c r="O30"/>
  <c r="Q30" s="1"/>
  <c r="N30"/>
  <c r="L30"/>
  <c r="M30" s="1"/>
  <c r="K30"/>
  <c r="I30"/>
  <c r="G30"/>
  <c r="F30"/>
  <c r="J30" s="1"/>
  <c r="E30"/>
  <c r="D30"/>
  <c r="C30"/>
  <c r="B30"/>
  <c r="Z29"/>
  <c r="X29"/>
  <c r="W29"/>
  <c r="U29"/>
  <c r="R29"/>
  <c r="V29" s="1"/>
  <c r="O29"/>
  <c r="Q29" s="1"/>
  <c r="N29"/>
  <c r="L29"/>
  <c r="M29" s="1"/>
  <c r="K29"/>
  <c r="I29"/>
  <c r="G29"/>
  <c r="F29"/>
  <c r="J29" s="1"/>
  <c r="E29"/>
  <c r="D29"/>
  <c r="C29"/>
  <c r="B29"/>
  <c r="Z28"/>
  <c r="X28"/>
  <c r="W28"/>
  <c r="U28"/>
  <c r="R28"/>
  <c r="V28" s="1"/>
  <c r="O28"/>
  <c r="Q28" s="1"/>
  <c r="N28"/>
  <c r="L28"/>
  <c r="M28" s="1"/>
  <c r="K28"/>
  <c r="I28"/>
  <c r="G28"/>
  <c r="F28"/>
  <c r="J28" s="1"/>
  <c r="E28"/>
  <c r="D28"/>
  <c r="C28"/>
  <c r="B28"/>
  <c r="Z27"/>
  <c r="X27"/>
  <c r="W27"/>
  <c r="U27"/>
  <c r="R27"/>
  <c r="V27" s="1"/>
  <c r="O27"/>
  <c r="Q27" s="1"/>
  <c r="N27"/>
  <c r="L27"/>
  <c r="M27" s="1"/>
  <c r="K27"/>
  <c r="I27"/>
  <c r="G27"/>
  <c r="F27"/>
  <c r="J27" s="1"/>
  <c r="E27"/>
  <c r="D27"/>
  <c r="C27"/>
  <c r="B27"/>
  <c r="Z26"/>
  <c r="X26"/>
  <c r="W26"/>
  <c r="U26"/>
  <c r="R26"/>
  <c r="V26" s="1"/>
  <c r="O26"/>
  <c r="Q26" s="1"/>
  <c r="N26"/>
  <c r="L26"/>
  <c r="M26" s="1"/>
  <c r="K26"/>
  <c r="I26"/>
  <c r="G26"/>
  <c r="F26"/>
  <c r="J26" s="1"/>
  <c r="E26"/>
  <c r="D26"/>
  <c r="C26"/>
  <c r="B26"/>
  <c r="Z25"/>
  <c r="X25"/>
  <c r="W25"/>
  <c r="U25"/>
  <c r="R25"/>
  <c r="V25" s="1"/>
  <c r="O25"/>
  <c r="Q25" s="1"/>
  <c r="N25"/>
  <c r="L25"/>
  <c r="M25" s="1"/>
  <c r="K25"/>
  <c r="I25"/>
  <c r="G25"/>
  <c r="F25"/>
  <c r="H25" s="1"/>
  <c r="E25"/>
  <c r="D25"/>
  <c r="C25"/>
  <c r="B25"/>
  <c r="Z24"/>
  <c r="X24"/>
  <c r="W24"/>
  <c r="U24"/>
  <c r="R24"/>
  <c r="T24" s="1"/>
  <c r="O24"/>
  <c r="Q24" s="1"/>
  <c r="N24"/>
  <c r="L24"/>
  <c r="M24" s="1"/>
  <c r="K24"/>
  <c r="I24"/>
  <c r="G24"/>
  <c r="F24"/>
  <c r="J24" s="1"/>
  <c r="E24"/>
  <c r="D24"/>
  <c r="C24"/>
  <c r="B24"/>
  <c r="Z23"/>
  <c r="X23"/>
  <c r="W23"/>
  <c r="U23"/>
  <c r="R23"/>
  <c r="V23" s="1"/>
  <c r="O23"/>
  <c r="Q23" s="1"/>
  <c r="N23"/>
  <c r="L23"/>
  <c r="M23" s="1"/>
  <c r="K23"/>
  <c r="J23"/>
  <c r="I23"/>
  <c r="G23"/>
  <c r="F23"/>
  <c r="H23" s="1"/>
  <c r="E23"/>
  <c r="D23"/>
  <c r="C23"/>
  <c r="B23"/>
  <c r="Z22"/>
  <c r="X22"/>
  <c r="W22"/>
  <c r="U22"/>
  <c r="R22"/>
  <c r="V22" s="1"/>
  <c r="O22"/>
  <c r="Q22" s="1"/>
  <c r="N22"/>
  <c r="L22"/>
  <c r="M22" s="1"/>
  <c r="K22"/>
  <c r="I22"/>
  <c r="G22"/>
  <c r="F22"/>
  <c r="J22" s="1"/>
  <c r="E22"/>
  <c r="D22"/>
  <c r="C22"/>
  <c r="B22"/>
  <c r="Z21"/>
  <c r="X21"/>
  <c r="W21"/>
  <c r="U21"/>
  <c r="R21"/>
  <c r="V21" s="1"/>
  <c r="O21"/>
  <c r="Q21" s="1"/>
  <c r="N21"/>
  <c r="L21"/>
  <c r="M21" s="1"/>
  <c r="K21"/>
  <c r="I21"/>
  <c r="G21"/>
  <c r="F21"/>
  <c r="H21" s="1"/>
  <c r="E21"/>
  <c r="D21"/>
  <c r="C21"/>
  <c r="B21"/>
  <c r="Z20"/>
  <c r="X20"/>
  <c r="W20"/>
  <c r="U20"/>
  <c r="R20"/>
  <c r="V20" s="1"/>
  <c r="O20"/>
  <c r="Q20" s="1"/>
  <c r="N20"/>
  <c r="L20"/>
  <c r="M20" s="1"/>
  <c r="K20"/>
  <c r="I20"/>
  <c r="G20"/>
  <c r="F20"/>
  <c r="J20" s="1"/>
  <c r="E20"/>
  <c r="D20"/>
  <c r="C20"/>
  <c r="B20"/>
  <c r="Z19"/>
  <c r="X19"/>
  <c r="W19"/>
  <c r="U19"/>
  <c r="R19"/>
  <c r="V19" s="1"/>
  <c r="O19"/>
  <c r="Q19" s="1"/>
  <c r="N19"/>
  <c r="L19"/>
  <c r="M19" s="1"/>
  <c r="K19"/>
  <c r="I19"/>
  <c r="G19"/>
  <c r="F19"/>
  <c r="H19" s="1"/>
  <c r="E19"/>
  <c r="D19"/>
  <c r="C19"/>
  <c r="B19"/>
  <c r="Z18"/>
  <c r="X18"/>
  <c r="W18"/>
  <c r="U18"/>
  <c r="R18"/>
  <c r="T18" s="1"/>
  <c r="O18"/>
  <c r="Q18" s="1"/>
  <c r="N18"/>
  <c r="L18"/>
  <c r="M18" s="1"/>
  <c r="K18"/>
  <c r="I18"/>
  <c r="G18"/>
  <c r="F18"/>
  <c r="J18" s="1"/>
  <c r="E18"/>
  <c r="D18"/>
  <c r="C18"/>
  <c r="B18"/>
  <c r="Z17"/>
  <c r="X17"/>
  <c r="W17"/>
  <c r="U17"/>
  <c r="R17"/>
  <c r="V17" s="1"/>
  <c r="O17"/>
  <c r="Q17" s="1"/>
  <c r="N17"/>
  <c r="L17"/>
  <c r="M17" s="1"/>
  <c r="K17"/>
  <c r="I17"/>
  <c r="G17"/>
  <c r="F17"/>
  <c r="J17" s="1"/>
  <c r="E17"/>
  <c r="D17"/>
  <c r="C17"/>
  <c r="B17"/>
  <c r="Z16"/>
  <c r="X16"/>
  <c r="W16"/>
  <c r="U16"/>
  <c r="R16"/>
  <c r="V16" s="1"/>
  <c r="O16"/>
  <c r="Q16" s="1"/>
  <c r="N16"/>
  <c r="L16"/>
  <c r="M16" s="1"/>
  <c r="K16"/>
  <c r="I16"/>
  <c r="G16"/>
  <c r="F16"/>
  <c r="H16" s="1"/>
  <c r="E16"/>
  <c r="D16"/>
  <c r="C16"/>
  <c r="B16"/>
  <c r="Z15"/>
  <c r="X15"/>
  <c r="W15"/>
  <c r="U15"/>
  <c r="R15"/>
  <c r="T15" s="1"/>
  <c r="O15"/>
  <c r="Q15" s="1"/>
  <c r="N15"/>
  <c r="L15"/>
  <c r="M15" s="1"/>
  <c r="K15"/>
  <c r="I15"/>
  <c r="G15"/>
  <c r="F15"/>
  <c r="H15" s="1"/>
  <c r="E15"/>
  <c r="D15"/>
  <c r="C15"/>
  <c r="B15"/>
  <c r="Z14"/>
  <c r="X14"/>
  <c r="W14"/>
  <c r="U14"/>
  <c r="R14"/>
  <c r="T14" s="1"/>
  <c r="O14"/>
  <c r="Q14" s="1"/>
  <c r="N14"/>
  <c r="L14"/>
  <c r="M14" s="1"/>
  <c r="K14"/>
  <c r="I14"/>
  <c r="G14"/>
  <c r="F14"/>
  <c r="J14" s="1"/>
  <c r="E14"/>
  <c r="D14"/>
  <c r="C14"/>
  <c r="B14"/>
  <c r="Z13"/>
  <c r="X13"/>
  <c r="W13"/>
  <c r="U13"/>
  <c r="R13"/>
  <c r="V13" s="1"/>
  <c r="O13"/>
  <c r="Q13" s="1"/>
  <c r="N13"/>
  <c r="L13"/>
  <c r="M13" s="1"/>
  <c r="K13"/>
  <c r="J13"/>
  <c r="I13"/>
  <c r="G13"/>
  <c r="F13"/>
  <c r="H13" s="1"/>
  <c r="E13"/>
  <c r="D13"/>
  <c r="C13"/>
  <c r="B13"/>
  <c r="Z12"/>
  <c r="X12"/>
  <c r="W12"/>
  <c r="U12"/>
  <c r="R12"/>
  <c r="V12" s="1"/>
  <c r="O12"/>
  <c r="Q12" s="1"/>
  <c r="N12"/>
  <c r="L12"/>
  <c r="M12" s="1"/>
  <c r="K12"/>
  <c r="I12"/>
  <c r="G12"/>
  <c r="F12"/>
  <c r="J12" s="1"/>
  <c r="E12"/>
  <c r="D12"/>
  <c r="C12"/>
  <c r="B12"/>
  <c r="Z11"/>
  <c r="X11"/>
  <c r="W11"/>
  <c r="U11"/>
  <c r="R11"/>
  <c r="V11" s="1"/>
  <c r="O11"/>
  <c r="Q11" s="1"/>
  <c r="N11"/>
  <c r="L11"/>
  <c r="M11" s="1"/>
  <c r="K11"/>
  <c r="I11"/>
  <c r="G11"/>
  <c r="F11"/>
  <c r="H11" s="1"/>
  <c r="E11"/>
  <c r="D11"/>
  <c r="C11"/>
  <c r="B11"/>
  <c r="Z10"/>
  <c r="X10"/>
  <c r="W10"/>
  <c r="U10"/>
  <c r="R10"/>
  <c r="T10" s="1"/>
  <c r="O10"/>
  <c r="Q10" s="1"/>
  <c r="N10"/>
  <c r="L10"/>
  <c r="M10" s="1"/>
  <c r="K10"/>
  <c r="I10"/>
  <c r="G10"/>
  <c r="F10"/>
  <c r="J10" s="1"/>
  <c r="E10"/>
  <c r="D10"/>
  <c r="C10"/>
  <c r="B10"/>
  <c r="Z9"/>
  <c r="X9"/>
  <c r="W9"/>
  <c r="U9"/>
  <c r="R9"/>
  <c r="V9" s="1"/>
  <c r="O9"/>
  <c r="Q9" s="1"/>
  <c r="N9"/>
  <c r="L9"/>
  <c r="M9" s="1"/>
  <c r="K9"/>
  <c r="I9"/>
  <c r="G9"/>
  <c r="F9"/>
  <c r="H9" s="1"/>
  <c r="E9"/>
  <c r="D9"/>
  <c r="C9"/>
  <c r="B9"/>
  <c r="AA7"/>
  <c r="Y7"/>
  <c r="X7"/>
  <c r="W7"/>
  <c r="V7"/>
  <c r="U7"/>
  <c r="S7"/>
  <c r="R7"/>
  <c r="P7"/>
  <c r="O7"/>
  <c r="N7"/>
  <c r="Q7" s="1"/>
  <c r="L7"/>
  <c r="K7"/>
  <c r="J7"/>
  <c r="M7" s="1"/>
  <c r="I7"/>
  <c r="F7"/>
  <c r="E7"/>
  <c r="D7"/>
  <c r="C7"/>
  <c r="D22" i="2" l="1"/>
  <c r="E11"/>
  <c r="E22" s="1"/>
  <c r="D34" i="3"/>
  <c r="D33"/>
  <c r="D32"/>
  <c r="D31"/>
  <c r="D30"/>
  <c r="D29"/>
  <c r="D28"/>
  <c r="D27"/>
  <c r="D26"/>
  <c r="D25"/>
  <c r="E21" i="2"/>
  <c r="E23"/>
  <c r="D21"/>
  <c r="D23"/>
  <c r="E20"/>
  <c r="D20"/>
  <c r="AC27" i="4"/>
  <c r="AC31"/>
  <c r="AC34"/>
  <c r="AC35"/>
  <c r="AC42"/>
  <c r="AC46"/>
  <c r="AC58"/>
  <c r="AC60"/>
  <c r="AC63"/>
  <c r="AC19"/>
  <c r="AC22"/>
  <c r="AA101"/>
  <c r="AC30"/>
  <c r="AC37"/>
  <c r="AC43"/>
  <c r="AC44"/>
  <c r="AC49"/>
  <c r="AC50"/>
  <c r="AC55"/>
  <c r="AC56"/>
  <c r="AC25"/>
  <c r="AC41"/>
  <c r="AA100"/>
  <c r="X241"/>
  <c r="T103"/>
  <c r="P103"/>
  <c r="Q103"/>
  <c r="T107"/>
  <c r="P107"/>
  <c r="Q107"/>
  <c r="S9"/>
  <c r="S12"/>
  <c r="S17"/>
  <c r="S21"/>
  <c r="S22"/>
  <c r="J9"/>
  <c r="V10"/>
  <c r="J11"/>
  <c r="V14"/>
  <c r="J15"/>
  <c r="V15"/>
  <c r="J16"/>
  <c r="V18"/>
  <c r="J19"/>
  <c r="J21"/>
  <c r="V24"/>
  <c r="J25"/>
  <c r="P9"/>
  <c r="T9"/>
  <c r="AB9"/>
  <c r="H10"/>
  <c r="P10"/>
  <c r="AB10"/>
  <c r="P11"/>
  <c r="T11"/>
  <c r="AB11"/>
  <c r="H12"/>
  <c r="P12"/>
  <c r="T12"/>
  <c r="AB12"/>
  <c r="P13"/>
  <c r="T13"/>
  <c r="AB13"/>
  <c r="H14"/>
  <c r="P14"/>
  <c r="AB14"/>
  <c r="P15"/>
  <c r="AB15"/>
  <c r="P16"/>
  <c r="T16"/>
  <c r="AB16"/>
  <c r="H17"/>
  <c r="P17"/>
  <c r="T17"/>
  <c r="AB17"/>
  <c r="H18"/>
  <c r="P18"/>
  <c r="AB18"/>
  <c r="P19"/>
  <c r="T19"/>
  <c r="AB19"/>
  <c r="H20"/>
  <c r="P20"/>
  <c r="T20"/>
  <c r="AB20"/>
  <c r="AC20" s="1"/>
  <c r="P21"/>
  <c r="T21"/>
  <c r="AB21"/>
  <c r="AC21" s="1"/>
  <c r="H22"/>
  <c r="P22"/>
  <c r="T22"/>
  <c r="AB22"/>
  <c r="P23"/>
  <c r="T23"/>
  <c r="AB23"/>
  <c r="AC23" s="1"/>
  <c r="H24"/>
  <c r="P24"/>
  <c r="AB24"/>
  <c r="AC24" s="1"/>
  <c r="P25"/>
  <c r="T25"/>
  <c r="AB25"/>
  <c r="H26"/>
  <c r="P26"/>
  <c r="T26"/>
  <c r="AB26"/>
  <c r="AC26" s="1"/>
  <c r="H27"/>
  <c r="P27"/>
  <c r="T27"/>
  <c r="AB27"/>
  <c r="H28"/>
  <c r="P28"/>
  <c r="T28"/>
  <c r="AB28"/>
  <c r="AC28" s="1"/>
  <c r="H29"/>
  <c r="P29"/>
  <c r="T29"/>
  <c r="AB29"/>
  <c r="AC29" s="1"/>
  <c r="H30"/>
  <c r="P30"/>
  <c r="T30"/>
  <c r="AB30"/>
  <c r="H31"/>
  <c r="P31"/>
  <c r="T31"/>
  <c r="AB31"/>
  <c r="H32"/>
  <c r="P32"/>
  <c r="T32"/>
  <c r="AB32"/>
  <c r="AC32" s="1"/>
  <c r="H33"/>
  <c r="P33"/>
  <c r="T33"/>
  <c r="AB33"/>
  <c r="AC33" s="1"/>
  <c r="H34"/>
  <c r="P34"/>
  <c r="T34"/>
  <c r="AB34"/>
  <c r="H35"/>
  <c r="P35"/>
  <c r="T35"/>
  <c r="AB35"/>
  <c r="H36"/>
  <c r="P36"/>
  <c r="T36"/>
  <c r="AB36"/>
  <c r="AC36" s="1"/>
  <c r="H37"/>
  <c r="P37"/>
  <c r="T37"/>
  <c r="AB37"/>
  <c r="H38"/>
  <c r="P38"/>
  <c r="T38"/>
  <c r="AB38"/>
  <c r="AC38" s="1"/>
  <c r="H39"/>
  <c r="P39"/>
  <c r="T39"/>
  <c r="AB39"/>
  <c r="AC39" s="1"/>
  <c r="H40"/>
  <c r="P40"/>
  <c r="T40"/>
  <c r="AB40"/>
  <c r="AC40" s="1"/>
  <c r="H41"/>
  <c r="P41"/>
  <c r="T41"/>
  <c r="AB41"/>
  <c r="H42"/>
  <c r="P42"/>
  <c r="T42"/>
  <c r="AB42"/>
  <c r="H43"/>
  <c r="P43"/>
  <c r="T43"/>
  <c r="AB43"/>
  <c r="H44"/>
  <c r="P44"/>
  <c r="T44"/>
  <c r="AB44"/>
  <c r="H45"/>
  <c r="P45"/>
  <c r="T45"/>
  <c r="AB45"/>
  <c r="AC45" s="1"/>
  <c r="H46"/>
  <c r="P46"/>
  <c r="T46"/>
  <c r="AB46"/>
  <c r="H47"/>
  <c r="P47"/>
  <c r="T47"/>
  <c r="AB47"/>
  <c r="AC47" s="1"/>
  <c r="H48"/>
  <c r="P48"/>
  <c r="T48"/>
  <c r="AB48"/>
  <c r="AC48" s="1"/>
  <c r="H49"/>
  <c r="P49"/>
  <c r="T49"/>
  <c r="AB49"/>
  <c r="H50"/>
  <c r="P50"/>
  <c r="T50"/>
  <c r="AB50"/>
  <c r="H51"/>
  <c r="P51"/>
  <c r="T51"/>
  <c r="AB51"/>
  <c r="AC51" s="1"/>
  <c r="H52"/>
  <c r="P52"/>
  <c r="T52"/>
  <c r="AB52"/>
  <c r="AC52" s="1"/>
  <c r="H53"/>
  <c r="P53"/>
  <c r="T53"/>
  <c r="AB53"/>
  <c r="AC53" s="1"/>
  <c r="H54"/>
  <c r="P54"/>
  <c r="T54"/>
  <c r="AB54"/>
  <c r="AC54" s="1"/>
  <c r="H55"/>
  <c r="P55"/>
  <c r="T55"/>
  <c r="AB55"/>
  <c r="H56"/>
  <c r="P56"/>
  <c r="T56"/>
  <c r="AB56"/>
  <c r="H57"/>
  <c r="P57"/>
  <c r="T57"/>
  <c r="AB57"/>
  <c r="AC57" s="1"/>
  <c r="H58"/>
  <c r="P58"/>
  <c r="T58"/>
  <c r="AB58"/>
  <c r="H59"/>
  <c r="P59"/>
  <c r="T59"/>
  <c r="AB59"/>
  <c r="AC59" s="1"/>
  <c r="H60"/>
  <c r="P60"/>
  <c r="T60"/>
  <c r="AB60"/>
  <c r="H61"/>
  <c r="P61"/>
  <c r="T61"/>
  <c r="AB61"/>
  <c r="AC61" s="1"/>
  <c r="H62"/>
  <c r="P62"/>
  <c r="T62"/>
  <c r="AB62"/>
  <c r="AC62" s="1"/>
  <c r="H63"/>
  <c r="P63"/>
  <c r="T63"/>
  <c r="AB63"/>
  <c r="H64"/>
  <c r="P64"/>
  <c r="T64"/>
  <c r="H65"/>
  <c r="P65"/>
  <c r="T65"/>
  <c r="H66"/>
  <c r="P66"/>
  <c r="T66"/>
  <c r="H67"/>
  <c r="P67"/>
  <c r="T67"/>
  <c r="H68"/>
  <c r="P68"/>
  <c r="T68"/>
  <c r="H69"/>
  <c r="P69"/>
  <c r="T69"/>
  <c r="H70"/>
  <c r="P70"/>
  <c r="T70"/>
  <c r="H71"/>
  <c r="P71"/>
  <c r="T71"/>
  <c r="H72"/>
  <c r="P72"/>
  <c r="T72"/>
  <c r="H73"/>
  <c r="P73"/>
  <c r="T73"/>
  <c r="H74"/>
  <c r="P74"/>
  <c r="T74"/>
  <c r="H75"/>
  <c r="P75"/>
  <c r="T75"/>
  <c r="H76"/>
  <c r="P76"/>
  <c r="T76"/>
  <c r="H77"/>
  <c r="P77"/>
  <c r="T77"/>
  <c r="H78"/>
  <c r="P78"/>
  <c r="T78"/>
  <c r="H79"/>
  <c r="P79"/>
  <c r="T79"/>
  <c r="H80"/>
  <c r="P80"/>
  <c r="T80"/>
  <c r="H81"/>
  <c r="P81"/>
  <c r="T81"/>
  <c r="H82"/>
  <c r="P82"/>
  <c r="T82"/>
  <c r="H83"/>
  <c r="P83"/>
  <c r="T83"/>
  <c r="H84"/>
  <c r="P84"/>
  <c r="T84"/>
  <c r="H85"/>
  <c r="P85"/>
  <c r="T85"/>
  <c r="H86"/>
  <c r="P86"/>
  <c r="T86"/>
  <c r="H87"/>
  <c r="P87"/>
  <c r="T87"/>
  <c r="H88"/>
  <c r="P88"/>
  <c r="T88"/>
  <c r="H89"/>
  <c r="P89"/>
  <c r="T89"/>
  <c r="H90"/>
  <c r="P91"/>
  <c r="P92"/>
  <c r="P93"/>
  <c r="P94"/>
  <c r="P95"/>
  <c r="P96"/>
  <c r="P97"/>
  <c r="P98"/>
  <c r="P99"/>
  <c r="AB100"/>
  <c r="AC100" s="1"/>
  <c r="AB101"/>
  <c r="AC101" s="1"/>
  <c r="T102"/>
  <c r="P102"/>
  <c r="Q102"/>
  <c r="T106"/>
  <c r="P106"/>
  <c r="Q106"/>
  <c r="S16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T91"/>
  <c r="T92"/>
  <c r="T93"/>
  <c r="T94"/>
  <c r="T95"/>
  <c r="T96"/>
  <c r="T97"/>
  <c r="T98"/>
  <c r="T99"/>
  <c r="Q100"/>
  <c r="T100"/>
  <c r="Q101"/>
  <c r="T101"/>
  <c r="Z90"/>
  <c r="AC90"/>
  <c r="Y90"/>
  <c r="N91"/>
  <c r="M91"/>
  <c r="Z91"/>
  <c r="AC91"/>
  <c r="Y91"/>
  <c r="N92"/>
  <c r="M92"/>
  <c r="Z92"/>
  <c r="AC92"/>
  <c r="Y92"/>
  <c r="N93"/>
  <c r="M93"/>
  <c r="Z93"/>
  <c r="AC93"/>
  <c r="Y93"/>
  <c r="N94"/>
  <c r="M94"/>
  <c r="Z94"/>
  <c r="AC94"/>
  <c r="Y94"/>
  <c r="N95"/>
  <c r="M95"/>
  <c r="Z95"/>
  <c r="AC95"/>
  <c r="Y95"/>
  <c r="N96"/>
  <c r="M96"/>
  <c r="Z96"/>
  <c r="AC96"/>
  <c r="Y96"/>
  <c r="N97"/>
  <c r="M97"/>
  <c r="Z97"/>
  <c r="AC97"/>
  <c r="Y97"/>
  <c r="N98"/>
  <c r="M98"/>
  <c r="Z98"/>
  <c r="AC98"/>
  <c r="Y98"/>
  <c r="N99"/>
  <c r="M99"/>
  <c r="Z99"/>
  <c r="AC99"/>
  <c r="Y99"/>
  <c r="N100"/>
  <c r="M100"/>
  <c r="Z100"/>
  <c r="Y100"/>
  <c r="N101"/>
  <c r="M101"/>
  <c r="Z101"/>
  <c r="Y101"/>
  <c r="T105"/>
  <c r="P105"/>
  <c r="Q105"/>
  <c r="T109"/>
  <c r="P109"/>
  <c r="Q109"/>
  <c r="S10"/>
  <c r="S13"/>
  <c r="S15"/>
  <c r="T90"/>
  <c r="S91"/>
  <c r="S92"/>
  <c r="S93"/>
  <c r="S94"/>
  <c r="S95"/>
  <c r="S96"/>
  <c r="S97"/>
  <c r="S98"/>
  <c r="S99"/>
  <c r="S101"/>
  <c r="T104"/>
  <c r="P104"/>
  <c r="Q104"/>
  <c r="T108"/>
  <c r="P108"/>
  <c r="Q108"/>
  <c r="S11"/>
  <c r="S14"/>
  <c r="S18"/>
  <c r="S19"/>
  <c r="S20"/>
  <c r="Y9"/>
  <c r="AC9"/>
  <c r="Y10"/>
  <c r="AC10"/>
  <c r="Y11"/>
  <c r="AC11"/>
  <c r="Y12"/>
  <c r="AC12"/>
  <c r="Y13"/>
  <c r="AC13"/>
  <c r="Y14"/>
  <c r="AC14"/>
  <c r="Y15"/>
  <c r="AC15"/>
  <c r="Y16"/>
  <c r="AC16"/>
  <c r="Y17"/>
  <c r="AC17"/>
  <c r="Y18"/>
  <c r="AC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S90"/>
  <c r="S106"/>
  <c r="P161"/>
  <c r="Q161"/>
  <c r="P163"/>
  <c r="Q163"/>
  <c r="M102"/>
  <c r="Y102"/>
  <c r="M103"/>
  <c r="Y103"/>
  <c r="M104"/>
  <c r="Y104"/>
  <c r="M105"/>
  <c r="Y105"/>
  <c r="M106"/>
  <c r="Y106"/>
  <c r="M107"/>
  <c r="Y107"/>
  <c r="M108"/>
  <c r="Y108"/>
  <c r="M109"/>
  <c r="Y109"/>
  <c r="M110"/>
  <c r="Q110"/>
  <c r="Y110"/>
  <c r="M111"/>
  <c r="Q111"/>
  <c r="Y111"/>
  <c r="AC111"/>
  <c r="M112"/>
  <c r="Q112"/>
  <c r="Y112"/>
  <c r="AC112"/>
  <c r="M113"/>
  <c r="Q113"/>
  <c r="Y113"/>
  <c r="M114"/>
  <c r="Q114"/>
  <c r="Y114"/>
  <c r="M115"/>
  <c r="Q115"/>
  <c r="Y115"/>
  <c r="AC115"/>
  <c r="M116"/>
  <c r="Q116"/>
  <c r="Y116"/>
  <c r="AC116"/>
  <c r="M117"/>
  <c r="Q117"/>
  <c r="Y117"/>
  <c r="M118"/>
  <c r="Q118"/>
  <c r="Y118"/>
  <c r="M119"/>
  <c r="Q119"/>
  <c r="Y119"/>
  <c r="AC119"/>
  <c r="M120"/>
  <c r="Q120"/>
  <c r="Y120"/>
  <c r="AC120"/>
  <c r="M121"/>
  <c r="Q121"/>
  <c r="Y121"/>
  <c r="M122"/>
  <c r="Q122"/>
  <c r="Y122"/>
  <c r="M123"/>
  <c r="Q123"/>
  <c r="Y123"/>
  <c r="AC123"/>
  <c r="M124"/>
  <c r="Q124"/>
  <c r="Y124"/>
  <c r="AC124"/>
  <c r="M125"/>
  <c r="Q125"/>
  <c r="Y125"/>
  <c r="M126"/>
  <c r="Q126"/>
  <c r="Y126"/>
  <c r="M127"/>
  <c r="Q127"/>
  <c r="Y127"/>
  <c r="AC127"/>
  <c r="M128"/>
  <c r="Q128"/>
  <c r="Y128"/>
  <c r="AC128"/>
  <c r="M129"/>
  <c r="Q129"/>
  <c r="Y129"/>
  <c r="M130"/>
  <c r="Q130"/>
  <c r="Y130"/>
  <c r="M131"/>
  <c r="Q131"/>
  <c r="Y131"/>
  <c r="AC131"/>
  <c r="M132"/>
  <c r="Q132"/>
  <c r="G133"/>
  <c r="K133"/>
  <c r="P133"/>
  <c r="G134"/>
  <c r="K134"/>
  <c r="P134"/>
  <c r="G135"/>
  <c r="K135"/>
  <c r="P135"/>
  <c r="G136"/>
  <c r="K136"/>
  <c r="P136"/>
  <c r="G137"/>
  <c r="K137"/>
  <c r="P137"/>
  <c r="G138"/>
  <c r="K138"/>
  <c r="P138"/>
  <c r="AA184"/>
  <c r="AA188"/>
  <c r="AC132"/>
  <c r="Y132"/>
  <c r="AC133"/>
  <c r="Y133"/>
  <c r="AC134"/>
  <c r="Y134"/>
  <c r="AC135"/>
  <c r="Y135"/>
  <c r="AC136"/>
  <c r="Y136"/>
  <c r="AC137"/>
  <c r="Y137"/>
  <c r="AB138"/>
  <c r="AC138"/>
  <c r="Y138"/>
  <c r="AB102"/>
  <c r="AC102" s="1"/>
  <c r="AB103"/>
  <c r="AC103" s="1"/>
  <c r="AB104"/>
  <c r="AC104" s="1"/>
  <c r="AB105"/>
  <c r="AC105" s="1"/>
  <c r="AB106"/>
  <c r="AC106" s="1"/>
  <c r="AB107"/>
  <c r="AC107" s="1"/>
  <c r="AB108"/>
  <c r="AC108" s="1"/>
  <c r="AB109"/>
  <c r="AC109" s="1"/>
  <c r="P110"/>
  <c r="T110"/>
  <c r="AB110"/>
  <c r="AC110" s="1"/>
  <c r="P111"/>
  <c r="T111"/>
  <c r="AB111"/>
  <c r="P112"/>
  <c r="T112"/>
  <c r="AB112"/>
  <c r="P113"/>
  <c r="T113"/>
  <c r="AB113"/>
  <c r="AC113" s="1"/>
  <c r="P114"/>
  <c r="T114"/>
  <c r="AB114"/>
  <c r="AC114" s="1"/>
  <c r="P115"/>
  <c r="T115"/>
  <c r="AB115"/>
  <c r="P116"/>
  <c r="T116"/>
  <c r="AB116"/>
  <c r="P117"/>
  <c r="T117"/>
  <c r="AB117"/>
  <c r="AC117" s="1"/>
  <c r="P118"/>
  <c r="T118"/>
  <c r="AB118"/>
  <c r="AC118" s="1"/>
  <c r="P119"/>
  <c r="T119"/>
  <c r="AB119"/>
  <c r="P120"/>
  <c r="T120"/>
  <c r="AB120"/>
  <c r="P121"/>
  <c r="T121"/>
  <c r="AB121"/>
  <c r="AC121" s="1"/>
  <c r="P122"/>
  <c r="T122"/>
  <c r="AB122"/>
  <c r="AC122" s="1"/>
  <c r="P123"/>
  <c r="T123"/>
  <c r="AB123"/>
  <c r="P124"/>
  <c r="T124"/>
  <c r="AB124"/>
  <c r="P125"/>
  <c r="T125"/>
  <c r="AB125"/>
  <c r="AC125" s="1"/>
  <c r="P126"/>
  <c r="T126"/>
  <c r="AB126"/>
  <c r="AC126" s="1"/>
  <c r="P127"/>
  <c r="T127"/>
  <c r="AB127"/>
  <c r="P128"/>
  <c r="T128"/>
  <c r="AB128"/>
  <c r="P129"/>
  <c r="T129"/>
  <c r="AB129"/>
  <c r="AC129" s="1"/>
  <c r="P130"/>
  <c r="T130"/>
  <c r="AB130"/>
  <c r="AC130" s="1"/>
  <c r="P131"/>
  <c r="T131"/>
  <c r="AB131"/>
  <c r="P132"/>
  <c r="T132"/>
  <c r="J133"/>
  <c r="T133"/>
  <c r="J134"/>
  <c r="T134"/>
  <c r="J135"/>
  <c r="T135"/>
  <c r="J136"/>
  <c r="T136"/>
  <c r="J137"/>
  <c r="T137"/>
  <c r="J138"/>
  <c r="T138"/>
  <c r="G139"/>
  <c r="S139"/>
  <c r="G140"/>
  <c r="S140"/>
  <c r="G141"/>
  <c r="S141"/>
  <c r="G142"/>
  <c r="S142"/>
  <c r="G143"/>
  <c r="S143"/>
  <c r="G144"/>
  <c r="S144"/>
  <c r="G145"/>
  <c r="S145"/>
  <c r="G146"/>
  <c r="S146"/>
  <c r="G147"/>
  <c r="S147"/>
  <c r="G148"/>
  <c r="S148"/>
  <c r="G149"/>
  <c r="S149"/>
  <c r="G150"/>
  <c r="S150"/>
  <c r="G151"/>
  <c r="S151"/>
  <c r="G152"/>
  <c r="S152"/>
  <c r="G153"/>
  <c r="S153"/>
  <c r="G154"/>
  <c r="S154"/>
  <c r="G155"/>
  <c r="S155"/>
  <c r="G156"/>
  <c r="S156"/>
  <c r="G157"/>
  <c r="S157"/>
  <c r="G158"/>
  <c r="S158"/>
  <c r="G159"/>
  <c r="S159"/>
  <c r="G160"/>
  <c r="S160"/>
  <c r="AA185"/>
  <c r="P162"/>
  <c r="Q162"/>
  <c r="S164"/>
  <c r="P164"/>
  <c r="Q164"/>
  <c r="K139"/>
  <c r="W139"/>
  <c r="K140"/>
  <c r="W140"/>
  <c r="K141"/>
  <c r="W141"/>
  <c r="K142"/>
  <c r="W142"/>
  <c r="K143"/>
  <c r="W143"/>
  <c r="K144"/>
  <c r="W144"/>
  <c r="K145"/>
  <c r="W145"/>
  <c r="K146"/>
  <c r="W146"/>
  <c r="K147"/>
  <c r="W147"/>
  <c r="K148"/>
  <c r="W148"/>
  <c r="K149"/>
  <c r="W149"/>
  <c r="K150"/>
  <c r="W150"/>
  <c r="K151"/>
  <c r="W151"/>
  <c r="K152"/>
  <c r="W152"/>
  <c r="K153"/>
  <c r="W153"/>
  <c r="K154"/>
  <c r="W154"/>
  <c r="K155"/>
  <c r="W155"/>
  <c r="K156"/>
  <c r="W156"/>
  <c r="K157"/>
  <c r="W157"/>
  <c r="K158"/>
  <c r="W158"/>
  <c r="K159"/>
  <c r="W159"/>
  <c r="K160"/>
  <c r="W160"/>
  <c r="AA186"/>
  <c r="P139"/>
  <c r="Q139"/>
  <c r="P140"/>
  <c r="Q140"/>
  <c r="P141"/>
  <c r="Q141"/>
  <c r="P142"/>
  <c r="Q142"/>
  <c r="P143"/>
  <c r="Q143"/>
  <c r="P144"/>
  <c r="Q144"/>
  <c r="P145"/>
  <c r="Q145"/>
  <c r="P146"/>
  <c r="Q146"/>
  <c r="P147"/>
  <c r="Q147"/>
  <c r="P148"/>
  <c r="Q148"/>
  <c r="P149"/>
  <c r="Q149"/>
  <c r="P150"/>
  <c r="Q150"/>
  <c r="P151"/>
  <c r="Q151"/>
  <c r="P152"/>
  <c r="Q152"/>
  <c r="P153"/>
  <c r="Q153"/>
  <c r="P154"/>
  <c r="Q154"/>
  <c r="P155"/>
  <c r="Q155"/>
  <c r="P156"/>
  <c r="Q156"/>
  <c r="P157"/>
  <c r="Q157"/>
  <c r="P158"/>
  <c r="Q158"/>
  <c r="P159"/>
  <c r="Q159"/>
  <c r="P160"/>
  <c r="Q160"/>
  <c r="AA132"/>
  <c r="AA133"/>
  <c r="AA134"/>
  <c r="AA135"/>
  <c r="AA136"/>
  <c r="AA137"/>
  <c r="AA138"/>
  <c r="J139"/>
  <c r="V139"/>
  <c r="J140"/>
  <c r="V140"/>
  <c r="J141"/>
  <c r="V141"/>
  <c r="J142"/>
  <c r="V142"/>
  <c r="J143"/>
  <c r="V143"/>
  <c r="J144"/>
  <c r="V144"/>
  <c r="J145"/>
  <c r="V145"/>
  <c r="J146"/>
  <c r="V146"/>
  <c r="J147"/>
  <c r="V147"/>
  <c r="J148"/>
  <c r="V148"/>
  <c r="J149"/>
  <c r="V149"/>
  <c r="J150"/>
  <c r="V150"/>
  <c r="J151"/>
  <c r="V151"/>
  <c r="J152"/>
  <c r="V152"/>
  <c r="J153"/>
  <c r="V153"/>
  <c r="J154"/>
  <c r="V154"/>
  <c r="J155"/>
  <c r="V155"/>
  <c r="J156"/>
  <c r="V156"/>
  <c r="J157"/>
  <c r="V157"/>
  <c r="J158"/>
  <c r="V158"/>
  <c r="J159"/>
  <c r="V159"/>
  <c r="J160"/>
  <c r="V160"/>
  <c r="AA183"/>
  <c r="AA187"/>
  <c r="Q189"/>
  <c r="P189"/>
  <c r="Q190"/>
  <c r="P190"/>
  <c r="Q191"/>
  <c r="P191"/>
  <c r="Q192"/>
  <c r="P192"/>
  <c r="Q193"/>
  <c r="P193"/>
  <c r="Q194"/>
  <c r="P194"/>
  <c r="W195"/>
  <c r="S195"/>
  <c r="T195"/>
  <c r="K197"/>
  <c r="G197"/>
  <c r="H197"/>
  <c r="Y139"/>
  <c r="AC139"/>
  <c r="Y140"/>
  <c r="AC140"/>
  <c r="Y141"/>
  <c r="AC141"/>
  <c r="Y142"/>
  <c r="AC142"/>
  <c r="Y143"/>
  <c r="AC143"/>
  <c r="Y144"/>
  <c r="AC144"/>
  <c r="Y145"/>
  <c r="AC145"/>
  <c r="Y146"/>
  <c r="AC146"/>
  <c r="Y147"/>
  <c r="AC147"/>
  <c r="Y148"/>
  <c r="AC148"/>
  <c r="Y149"/>
  <c r="AC149"/>
  <c r="Y150"/>
  <c r="AC150"/>
  <c r="Y151"/>
  <c r="AC151"/>
  <c r="Y152"/>
  <c r="AC152"/>
  <c r="Y153"/>
  <c r="AC153"/>
  <c r="Y154"/>
  <c r="AC154"/>
  <c r="Y155"/>
  <c r="AC155"/>
  <c r="Y156"/>
  <c r="AC156"/>
  <c r="Y157"/>
  <c r="AC157"/>
  <c r="Y158"/>
  <c r="AC158"/>
  <c r="Y159"/>
  <c r="AC159"/>
  <c r="Y160"/>
  <c r="AC160"/>
  <c r="Y161"/>
  <c r="AC161"/>
  <c r="Y162"/>
  <c r="AC162"/>
  <c r="Y163"/>
  <c r="AC163"/>
  <c r="Y164"/>
  <c r="AC164"/>
  <c r="Q165"/>
  <c r="Y165"/>
  <c r="AC165"/>
  <c r="Q166"/>
  <c r="Y166"/>
  <c r="AC166"/>
  <c r="Q167"/>
  <c r="Y167"/>
  <c r="AC167"/>
  <c r="Q168"/>
  <c r="Y168"/>
  <c r="AC168"/>
  <c r="Q169"/>
  <c r="Y169"/>
  <c r="AC169"/>
  <c r="Q170"/>
  <c r="Y170"/>
  <c r="AC170"/>
  <c r="Q171"/>
  <c r="Y171"/>
  <c r="AC171"/>
  <c r="Q172"/>
  <c r="Y172"/>
  <c r="AC172"/>
  <c r="Q173"/>
  <c r="Y173"/>
  <c r="AC173"/>
  <c r="Q174"/>
  <c r="Y174"/>
  <c r="AC174"/>
  <c r="Q175"/>
  <c r="Y175"/>
  <c r="AC175"/>
  <c r="Q176"/>
  <c r="Y176"/>
  <c r="AC176"/>
  <c r="Q177"/>
  <c r="Y177"/>
  <c r="AC177"/>
  <c r="Q178"/>
  <c r="Y178"/>
  <c r="AC178"/>
  <c r="Q179"/>
  <c r="Y179"/>
  <c r="AC179"/>
  <c r="Q180"/>
  <c r="Y180"/>
  <c r="AC180"/>
  <c r="Q181"/>
  <c r="Y181"/>
  <c r="AC181"/>
  <c r="Q182"/>
  <c r="Y182"/>
  <c r="AC182"/>
  <c r="N183"/>
  <c r="S183"/>
  <c r="W183"/>
  <c r="AB183"/>
  <c r="N184"/>
  <c r="S184"/>
  <c r="W184"/>
  <c r="AB184"/>
  <c r="AC184" s="1"/>
  <c r="N185"/>
  <c r="S185"/>
  <c r="W185"/>
  <c r="AB185"/>
  <c r="N186"/>
  <c r="S186"/>
  <c r="W186"/>
  <c r="AB186"/>
  <c r="AC186" s="1"/>
  <c r="N187"/>
  <c r="S187"/>
  <c r="W187"/>
  <c r="AB187"/>
  <c r="N188"/>
  <c r="S188"/>
  <c r="W188"/>
  <c r="AB188"/>
  <c r="AC188" s="1"/>
  <c r="J189"/>
  <c r="V189"/>
  <c r="J190"/>
  <c r="V190"/>
  <c r="J191"/>
  <c r="V191"/>
  <c r="J192"/>
  <c r="V192"/>
  <c r="J193"/>
  <c r="V193"/>
  <c r="J194"/>
  <c r="W196"/>
  <c r="S196"/>
  <c r="T196"/>
  <c r="K198"/>
  <c r="G198"/>
  <c r="H198"/>
  <c r="H161"/>
  <c r="T161"/>
  <c r="H162"/>
  <c r="T162"/>
  <c r="H163"/>
  <c r="T163"/>
  <c r="H164"/>
  <c r="T164"/>
  <c r="H165"/>
  <c r="P165"/>
  <c r="T165"/>
  <c r="H166"/>
  <c r="P166"/>
  <c r="T166"/>
  <c r="H167"/>
  <c r="P167"/>
  <c r="T167"/>
  <c r="H168"/>
  <c r="P168"/>
  <c r="T168"/>
  <c r="H169"/>
  <c r="P169"/>
  <c r="T169"/>
  <c r="H170"/>
  <c r="P170"/>
  <c r="T170"/>
  <c r="H171"/>
  <c r="P171"/>
  <c r="T171"/>
  <c r="H172"/>
  <c r="P172"/>
  <c r="T172"/>
  <c r="H173"/>
  <c r="P173"/>
  <c r="T173"/>
  <c r="H174"/>
  <c r="P174"/>
  <c r="T174"/>
  <c r="H175"/>
  <c r="P175"/>
  <c r="T175"/>
  <c r="H176"/>
  <c r="P176"/>
  <c r="T176"/>
  <c r="H177"/>
  <c r="P177"/>
  <c r="T177"/>
  <c r="H178"/>
  <c r="P178"/>
  <c r="T178"/>
  <c r="H179"/>
  <c r="P179"/>
  <c r="T179"/>
  <c r="H180"/>
  <c r="P180"/>
  <c r="T180"/>
  <c r="H181"/>
  <c r="P181"/>
  <c r="T181"/>
  <c r="H182"/>
  <c r="P182"/>
  <c r="T182"/>
  <c r="H183"/>
  <c r="H184"/>
  <c r="H185"/>
  <c r="H186"/>
  <c r="H187"/>
  <c r="H188"/>
  <c r="K195"/>
  <c r="G195"/>
  <c r="H195"/>
  <c r="W197"/>
  <c r="S197"/>
  <c r="T197"/>
  <c r="AC189"/>
  <c r="AC193"/>
  <c r="G194"/>
  <c r="AC183"/>
  <c r="Y183"/>
  <c r="Y184"/>
  <c r="AC185"/>
  <c r="Y185"/>
  <c r="Y186"/>
  <c r="AC187"/>
  <c r="Y187"/>
  <c r="Y188"/>
  <c r="W194"/>
  <c r="S194"/>
  <c r="T194"/>
  <c r="K196"/>
  <c r="G196"/>
  <c r="H196"/>
  <c r="W198"/>
  <c r="S198"/>
  <c r="T198"/>
  <c r="T183"/>
  <c r="T184"/>
  <c r="T185"/>
  <c r="T186"/>
  <c r="T187"/>
  <c r="T188"/>
  <c r="K189"/>
  <c r="W189"/>
  <c r="K190"/>
  <c r="W190"/>
  <c r="K191"/>
  <c r="W191"/>
  <c r="K192"/>
  <c r="W192"/>
  <c r="K193"/>
  <c r="W193"/>
  <c r="K194"/>
  <c r="AB189"/>
  <c r="AB190"/>
  <c r="AC190" s="1"/>
  <c r="AB191"/>
  <c r="AC191" s="1"/>
  <c r="AB192"/>
  <c r="AC192" s="1"/>
  <c r="AB193"/>
  <c r="AB194"/>
  <c r="AC194" s="1"/>
  <c r="P195"/>
  <c r="AB195"/>
  <c r="AC195" s="1"/>
  <c r="P196"/>
  <c r="AB196"/>
  <c r="AC196" s="1"/>
  <c r="P197"/>
  <c r="AB197"/>
  <c r="AC197" s="1"/>
  <c r="P198"/>
  <c r="AB198"/>
  <c r="AC198" s="1"/>
  <c r="H199"/>
  <c r="P199"/>
  <c r="T199"/>
  <c r="AB199"/>
  <c r="AC199" s="1"/>
  <c r="H200"/>
  <c r="P200"/>
  <c r="T200"/>
  <c r="AB200"/>
  <c r="AC200" s="1"/>
  <c r="H201"/>
  <c r="P201"/>
  <c r="T201"/>
  <c r="AB201"/>
  <c r="AC201" s="1"/>
  <c r="H202"/>
  <c r="P202"/>
  <c r="T202"/>
  <c r="AB202"/>
  <c r="AC202" s="1"/>
  <c r="H203"/>
  <c r="P203"/>
  <c r="T203"/>
  <c r="AB203"/>
  <c r="AC203" s="1"/>
  <c r="H204"/>
  <c r="P204"/>
  <c r="T204"/>
  <c r="AB204"/>
  <c r="AC204" s="1"/>
  <c r="H205"/>
  <c r="P205"/>
  <c r="T205"/>
  <c r="AB205"/>
  <c r="AC205" s="1"/>
  <c r="H206"/>
  <c r="P206"/>
  <c r="T206"/>
  <c r="AB206"/>
  <c r="AC206" s="1"/>
  <c r="H207"/>
  <c r="P207"/>
  <c r="T207"/>
  <c r="AB207"/>
  <c r="AC207" s="1"/>
  <c r="H208"/>
  <c r="P208"/>
  <c r="T208"/>
  <c r="AB208"/>
  <c r="AC208" s="1"/>
  <c r="H209"/>
  <c r="P209"/>
  <c r="T209"/>
  <c r="AB209"/>
  <c r="AC209" s="1"/>
  <c r="H210"/>
  <c r="P210"/>
  <c r="T210"/>
  <c r="AB210"/>
  <c r="AC210" s="1"/>
  <c r="H211"/>
  <c r="P211"/>
  <c r="T211"/>
  <c r="AB211"/>
  <c r="AC211" s="1"/>
  <c r="H212"/>
  <c r="P212"/>
  <c r="T212"/>
  <c r="AB212"/>
  <c r="AC212" s="1"/>
  <c r="H213"/>
  <c r="P213"/>
  <c r="T213"/>
  <c r="AB213"/>
  <c r="AC213" s="1"/>
  <c r="H214"/>
  <c r="P214"/>
  <c r="T214"/>
  <c r="AB214"/>
  <c r="AC214" s="1"/>
  <c r="H215"/>
  <c r="P215"/>
  <c r="T215"/>
  <c r="AB215"/>
  <c r="AC215" s="1"/>
  <c r="H216"/>
  <c r="P216"/>
  <c r="T216"/>
  <c r="AB216"/>
  <c r="AC216" s="1"/>
  <c r="H217"/>
  <c r="P217"/>
  <c r="T217"/>
  <c r="AB217"/>
  <c r="AC217" s="1"/>
  <c r="H218"/>
  <c r="P218"/>
  <c r="T218"/>
  <c r="AB218"/>
  <c r="AC218" s="1"/>
  <c r="H219"/>
  <c r="P219"/>
  <c r="T219"/>
  <c r="AB219"/>
  <c r="AC219" s="1"/>
  <c r="H220"/>
  <c r="P220"/>
  <c r="T220"/>
  <c r="AB220"/>
  <c r="AC220" s="1"/>
  <c r="H221"/>
  <c r="P221"/>
  <c r="T221"/>
  <c r="AB221"/>
  <c r="AC221" s="1"/>
  <c r="H222"/>
  <c r="P222"/>
  <c r="T222"/>
  <c r="AB222"/>
  <c r="AC222" s="1"/>
  <c r="H223"/>
  <c r="P223"/>
  <c r="T223"/>
  <c r="AB223"/>
  <c r="AC223" s="1"/>
  <c r="H224"/>
  <c r="P224"/>
  <c r="T224"/>
  <c r="AB224"/>
  <c r="AC224" s="1"/>
  <c r="H225"/>
  <c r="P225"/>
  <c r="T225"/>
  <c r="AB225"/>
  <c r="AC225" s="1"/>
  <c r="H226"/>
  <c r="P226"/>
  <c r="T226"/>
  <c r="AB226"/>
  <c r="AC226" s="1"/>
  <c r="H227"/>
  <c r="P227"/>
  <c r="T227"/>
  <c r="AB227"/>
  <c r="AC227" s="1"/>
  <c r="H228"/>
  <c r="P228"/>
  <c r="T228"/>
  <c r="AB228"/>
  <c r="AC228" s="1"/>
  <c r="H229"/>
  <c r="P229"/>
  <c r="T229"/>
  <c r="AB229"/>
  <c r="AC229" s="1"/>
  <c r="H230"/>
  <c r="P230"/>
  <c r="T230"/>
  <c r="AB230"/>
  <c r="AC230" s="1"/>
  <c r="H231"/>
  <c r="P231"/>
  <c r="T231"/>
  <c r="AB231"/>
  <c r="AC231" s="1"/>
  <c r="H232"/>
  <c r="P232"/>
  <c r="T232"/>
  <c r="AB232"/>
  <c r="AC232" s="1"/>
  <c r="H233"/>
  <c r="P233"/>
  <c r="T233"/>
  <c r="AB233"/>
  <c r="AC233" s="1"/>
  <c r="H234"/>
  <c r="P234"/>
  <c r="T234"/>
  <c r="AB234"/>
  <c r="AC234" s="1"/>
  <c r="H235"/>
  <c r="P235"/>
  <c r="T235"/>
  <c r="AB235"/>
  <c r="AC235" s="1"/>
  <c r="H236"/>
  <c r="P236"/>
  <c r="T236"/>
  <c r="AB236"/>
  <c r="AC236" s="1"/>
  <c r="H237"/>
  <c r="P237"/>
  <c r="T237"/>
  <c r="AB237"/>
  <c r="AC237" s="1"/>
  <c r="H238"/>
  <c r="P238"/>
  <c r="T238"/>
  <c r="AB238"/>
  <c r="AC238" s="1"/>
  <c r="H239"/>
  <c r="P239"/>
  <c r="T239"/>
  <c r="AB239"/>
  <c r="AC239" s="1"/>
  <c r="G199"/>
  <c r="K199"/>
  <c r="S199"/>
  <c r="W199"/>
  <c r="G200"/>
  <c r="K200"/>
  <c r="S200"/>
  <c r="W200"/>
  <c r="G201"/>
  <c r="K201"/>
  <c r="S201"/>
  <c r="W201"/>
  <c r="G202"/>
  <c r="K202"/>
  <c r="S202"/>
  <c r="W202"/>
  <c r="G203"/>
  <c r="K203"/>
  <c r="S203"/>
  <c r="W203"/>
  <c r="G204"/>
  <c r="K204"/>
  <c r="S204"/>
  <c r="W204"/>
  <c r="G205"/>
  <c r="K205"/>
  <c r="S205"/>
  <c r="W205"/>
  <c r="G206"/>
  <c r="K206"/>
  <c r="S206"/>
  <c r="W206"/>
  <c r="G207"/>
  <c r="K207"/>
  <c r="S207"/>
  <c r="W207"/>
  <c r="G208"/>
  <c r="K208"/>
  <c r="S208"/>
  <c r="W208"/>
  <c r="G209"/>
  <c r="K209"/>
  <c r="S209"/>
  <c r="W209"/>
  <c r="G210"/>
  <c r="K210"/>
  <c r="S210"/>
  <c r="W210"/>
  <c r="G211"/>
  <c r="K211"/>
  <c r="S211"/>
  <c r="W211"/>
  <c r="G212"/>
  <c r="K212"/>
  <c r="S212"/>
  <c r="W212"/>
  <c r="G213"/>
  <c r="K213"/>
  <c r="S213"/>
  <c r="W213"/>
  <c r="G214"/>
  <c r="K214"/>
  <c r="S214"/>
  <c r="W214"/>
  <c r="G215"/>
  <c r="K215"/>
  <c r="S215"/>
  <c r="W215"/>
  <c r="G216"/>
  <c r="K216"/>
  <c r="S216"/>
  <c r="W216"/>
  <c r="G217"/>
  <c r="K217"/>
  <c r="S217"/>
  <c r="W217"/>
  <c r="G218"/>
  <c r="K218"/>
  <c r="S218"/>
  <c r="W218"/>
  <c r="G219"/>
  <c r="K219"/>
  <c r="S219"/>
  <c r="W219"/>
  <c r="G220"/>
  <c r="K220"/>
  <c r="S220"/>
  <c r="W220"/>
  <c r="G221"/>
  <c r="K221"/>
  <c r="S221"/>
  <c r="W221"/>
  <c r="G222"/>
  <c r="K222"/>
  <c r="S222"/>
  <c r="W222"/>
  <c r="G223"/>
  <c r="K223"/>
  <c r="S223"/>
  <c r="W223"/>
  <c r="G224"/>
  <c r="K224"/>
  <c r="S224"/>
  <c r="W224"/>
  <c r="G225"/>
  <c r="K225"/>
  <c r="S225"/>
  <c r="W225"/>
  <c r="G226"/>
  <c r="K226"/>
  <c r="S226"/>
  <c r="W226"/>
  <c r="G227"/>
  <c r="K227"/>
  <c r="S227"/>
  <c r="W227"/>
  <c r="G228"/>
  <c r="K228"/>
  <c r="S228"/>
  <c r="W228"/>
  <c r="G229"/>
  <c r="K229"/>
  <c r="S229"/>
  <c r="W229"/>
  <c r="G230"/>
  <c r="K230"/>
  <c r="S230"/>
  <c r="W230"/>
  <c r="G231"/>
  <c r="K231"/>
  <c r="S231"/>
  <c r="W231"/>
  <c r="G232"/>
  <c r="K232"/>
  <c r="S232"/>
  <c r="W232"/>
  <c r="G233"/>
  <c r="K233"/>
  <c r="S233"/>
  <c r="W233"/>
  <c r="G234"/>
  <c r="K234"/>
  <c r="S234"/>
  <c r="W234"/>
  <c r="G235"/>
  <c r="K235"/>
  <c r="S235"/>
  <c r="W235"/>
  <c r="G236"/>
  <c r="K236"/>
  <c r="S236"/>
  <c r="W236"/>
  <c r="AA236"/>
  <c r="G237"/>
  <c r="K237"/>
  <c r="S237"/>
  <c r="W237"/>
  <c r="AA237"/>
  <c r="G238"/>
  <c r="S238"/>
  <c r="AA238"/>
  <c r="G239"/>
  <c r="S239"/>
  <c r="AA239"/>
  <c r="Y189"/>
  <c r="Y190"/>
  <c r="Y191"/>
  <c r="Y192"/>
  <c r="Y193"/>
  <c r="Y194"/>
  <c r="Y195"/>
  <c r="Y196"/>
  <c r="Y197"/>
  <c r="Y198"/>
  <c r="Y199"/>
  <c r="Y200"/>
  <c r="Y201"/>
  <c r="Y202"/>
  <c r="Y203"/>
  <c r="Y204"/>
  <c r="Y205"/>
  <c r="Y206"/>
  <c r="Y207"/>
  <c r="Y208"/>
  <c r="Y209"/>
  <c r="Y210"/>
  <c r="Y211"/>
  <c r="Y212"/>
  <c r="Y213"/>
  <c r="Y214"/>
  <c r="Y215"/>
  <c r="Y216"/>
  <c r="Y217"/>
  <c r="Y218"/>
  <c r="Y219"/>
  <c r="Y220"/>
  <c r="Y221"/>
  <c r="Y222"/>
  <c r="Y223"/>
  <c r="Y224"/>
  <c r="Y225"/>
  <c r="Y226"/>
  <c r="Y227"/>
  <c r="Y228"/>
  <c r="Y229"/>
  <c r="Y230"/>
  <c r="Y231"/>
  <c r="Y232"/>
  <c r="Y233"/>
  <c r="Y234"/>
  <c r="Y235"/>
  <c r="Y236"/>
  <c r="Y237"/>
  <c r="Y238"/>
  <c r="M239"/>
  <c r="Y239"/>
  <c r="AA235" l="1"/>
  <c r="AA234"/>
  <c r="AA233"/>
  <c r="AA232"/>
  <c r="AA231"/>
  <c r="AA230"/>
  <c r="AA229"/>
  <c r="AA228"/>
  <c r="AA227"/>
  <c r="AA226"/>
  <c r="AA225"/>
  <c r="AA224"/>
  <c r="AA223"/>
  <c r="AA222"/>
  <c r="AA221"/>
  <c r="AA220"/>
  <c r="AA219"/>
  <c r="AA218"/>
  <c r="AA217"/>
  <c r="AA216"/>
  <c r="AA215"/>
  <c r="AA214"/>
  <c r="AA213"/>
  <c r="AA212"/>
  <c r="AA211"/>
  <c r="AA210"/>
  <c r="AA209"/>
  <c r="AA208"/>
  <c r="AA207"/>
  <c r="AA206"/>
  <c r="AA205"/>
  <c r="AA204"/>
  <c r="AA203"/>
  <c r="AA202"/>
  <c r="AA201"/>
  <c r="AA200"/>
  <c r="AA199"/>
  <c r="AA198"/>
  <c r="AA197"/>
  <c r="AA196"/>
  <c r="AA195"/>
  <c r="AA194"/>
  <c r="AA182"/>
  <c r="AA181"/>
  <c r="AA180"/>
  <c r="AA179"/>
  <c r="AA178"/>
  <c r="AA177"/>
  <c r="AA176"/>
  <c r="AA175"/>
  <c r="AA174"/>
  <c r="AA173"/>
  <c r="AA172"/>
  <c r="AA171"/>
  <c r="AA170"/>
  <c r="AA169"/>
  <c r="AA168"/>
  <c r="AA167"/>
  <c r="AA166"/>
  <c r="AA165"/>
  <c r="AA164"/>
  <c r="AA193"/>
  <c r="AA192"/>
  <c r="AA191"/>
  <c r="AA190"/>
  <c r="AA189"/>
  <c r="AA162"/>
  <c r="AA160"/>
  <c r="AA159"/>
  <c r="AA158"/>
  <c r="AA157"/>
  <c r="AA156"/>
  <c r="AA155"/>
  <c r="AA154"/>
  <c r="AA153"/>
  <c r="AA152"/>
  <c r="AA151"/>
  <c r="AA150"/>
  <c r="AA149"/>
  <c r="AA148"/>
  <c r="AA147"/>
  <c r="AA146"/>
  <c r="AA145"/>
  <c r="AA144"/>
  <c r="AA143"/>
  <c r="AA142"/>
  <c r="AA141"/>
  <c r="AA140"/>
  <c r="AA139"/>
  <c r="AA131"/>
  <c r="AA130"/>
  <c r="AA129"/>
  <c r="AA128"/>
  <c r="AA127"/>
  <c r="AA126"/>
  <c r="AA125"/>
  <c r="AA124"/>
  <c r="AA123"/>
  <c r="AA122"/>
  <c r="AA121"/>
  <c r="AA120"/>
  <c r="AA119"/>
  <c r="AA118"/>
  <c r="AA117"/>
  <c r="AA116"/>
  <c r="AA115"/>
  <c r="AA114"/>
  <c r="AA113"/>
  <c r="AA112"/>
  <c r="AA111"/>
  <c r="AA110"/>
  <c r="AA163"/>
  <c r="AA161"/>
  <c r="AA106"/>
  <c r="AA102"/>
  <c r="AA12"/>
  <c r="AA9"/>
  <c r="AA107"/>
  <c r="AA103"/>
  <c r="AA20"/>
  <c r="AA19"/>
  <c r="AA18"/>
  <c r="AA13"/>
  <c r="AA11"/>
  <c r="AA10"/>
  <c r="AA108"/>
  <c r="AA104"/>
  <c r="AA99"/>
  <c r="AA98"/>
  <c r="AA97"/>
  <c r="AA96"/>
  <c r="AA95"/>
  <c r="AA94"/>
  <c r="AA93"/>
  <c r="AA92"/>
  <c r="AA91"/>
  <c r="AA90"/>
  <c r="AA89"/>
  <c r="AA88"/>
  <c r="AA87"/>
  <c r="AA86"/>
  <c r="AA85"/>
  <c r="AA84"/>
  <c r="AA83"/>
  <c r="AA82"/>
  <c r="AA81"/>
  <c r="AA80"/>
  <c r="AA79"/>
  <c r="AA78"/>
  <c r="AA77"/>
  <c r="AA76"/>
  <c r="AA75"/>
  <c r="AA74"/>
  <c r="AA73"/>
  <c r="AA72"/>
  <c r="AA71"/>
  <c r="AA70"/>
  <c r="AA69"/>
  <c r="AA68"/>
  <c r="AA67"/>
  <c r="AA66"/>
  <c r="AA65"/>
  <c r="AA64"/>
  <c r="AA63"/>
  <c r="AA62"/>
  <c r="AA61"/>
  <c r="AA60"/>
  <c r="AA59"/>
  <c r="AA58"/>
  <c r="AA57"/>
  <c r="AA56"/>
  <c r="AA55"/>
  <c r="AA54"/>
  <c r="AA53"/>
  <c r="AA52"/>
  <c r="AA51"/>
  <c r="AA50"/>
  <c r="AA49"/>
  <c r="AA48"/>
  <c r="AA47"/>
  <c r="AA46"/>
  <c r="AA45"/>
  <c r="AA44"/>
  <c r="AA43"/>
  <c r="AA42"/>
  <c r="AA41"/>
  <c r="AA40"/>
  <c r="AA39"/>
  <c r="AA38"/>
  <c r="AA37"/>
  <c r="AA36"/>
  <c r="AA35"/>
  <c r="AA34"/>
  <c r="AA33"/>
  <c r="AA32"/>
  <c r="AA31"/>
  <c r="AA30"/>
  <c r="AA29"/>
  <c r="AA28"/>
  <c r="AA27"/>
  <c r="AA26"/>
  <c r="AA25"/>
  <c r="AA24"/>
  <c r="AA23"/>
  <c r="AA22"/>
  <c r="AA17"/>
  <c r="AA16"/>
  <c r="AA109"/>
  <c r="AA105"/>
  <c r="AA21"/>
  <c r="AA15"/>
  <c r="AA14"/>
</calcChain>
</file>

<file path=xl/sharedStrings.xml><?xml version="1.0" encoding="utf-8"?>
<sst xmlns="http://schemas.openxmlformats.org/spreadsheetml/2006/main" count="45" uniqueCount="37">
  <si>
    <t>Total World Population</t>
  </si>
  <si>
    <t>Rank</t>
  </si>
  <si>
    <t>Country</t>
  </si>
  <si>
    <t>Latest Population Data 2022</t>
  </si>
  <si>
    <t>Initial Population Data 1970</t>
  </si>
  <si>
    <t>Top Ten Countries Data with Highest Population</t>
  </si>
  <si>
    <t>Top Ten Countries Data with Lowest Population</t>
  </si>
  <si>
    <t>Palau</t>
  </si>
  <si>
    <t>Cook Islands</t>
  </si>
  <si>
    <t>Anguilla</t>
  </si>
  <si>
    <t>Nauru</t>
  </si>
  <si>
    <t>Wallis and Futuna</t>
  </si>
  <si>
    <t>Tuvalu</t>
  </si>
  <si>
    <t>Saint Barthelemy</t>
  </si>
  <si>
    <t>Saint Pierre and Miquelon</t>
  </si>
  <si>
    <t>Montserrat</t>
  </si>
  <si>
    <t>Falkland Islands</t>
  </si>
  <si>
    <t>Mean</t>
  </si>
  <si>
    <t>Meadian</t>
  </si>
  <si>
    <t xml:space="preserve">Min </t>
  </si>
  <si>
    <t>Max</t>
  </si>
  <si>
    <t>Median</t>
  </si>
  <si>
    <t>Min</t>
  </si>
  <si>
    <t>Initial Population data 1970</t>
  </si>
  <si>
    <t>CAGR for 52 YR</t>
  </si>
  <si>
    <t>CAGR 10 YR</t>
  </si>
  <si>
    <t>CAGR 5 YR</t>
  </si>
  <si>
    <t>CAGR 2 YR</t>
  </si>
  <si>
    <t xml:space="preserve">Growth Rate </t>
  </si>
  <si>
    <t xml:space="preserve">
Interval-Based Annual Growth Analysis of World Population
</t>
  </si>
  <si>
    <t>CAGR Trend Analysis</t>
  </si>
  <si>
    <t>CAGR 52 Years</t>
  </si>
  <si>
    <t>Top 10 Countries</t>
  </si>
  <si>
    <t>Forcasting Population 2030</t>
  </si>
  <si>
    <t>Forcasted Population 2030 Trend Analysis</t>
  </si>
  <si>
    <t xml:space="preserve">Forcasted Data </t>
  </si>
  <si>
    <t>World Population Forcasted Data 2030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</si>
</sst>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b/>
      <sz val="11"/>
      <name val="Calibri"/>
      <family val="2"/>
    </font>
    <font>
      <b/>
      <sz val="14"/>
      <color theme="1"/>
      <name val="Cambria"/>
      <family val="1"/>
    </font>
    <font>
      <b/>
      <sz val="16"/>
      <color theme="0"/>
      <name val="Book Antiqua"/>
      <family val="1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rgb="FF7030A0"/>
      </top>
      <bottom style="hair">
        <color rgb="FF7030A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3" fillId="0" borderId="0" xfId="0" applyFont="1"/>
    <xf numFmtId="0" fontId="0" fillId="2" borderId="0" xfId="0" applyFill="1"/>
    <xf numFmtId="0" fontId="3" fillId="3" borderId="0" xfId="0" applyFont="1" applyFill="1" applyAlignment="1">
      <alignment horizontal="right"/>
    </xf>
    <xf numFmtId="0" fontId="6" fillId="0" borderId="0" xfId="0" applyFont="1"/>
    <xf numFmtId="3" fontId="4" fillId="0" borderId="0" xfId="0" applyNumberFormat="1" applyFont="1"/>
    <xf numFmtId="10" fontId="0" fillId="6" borderId="0" xfId="1" applyNumberFormat="1" applyFont="1" applyFill="1" applyAlignment="1">
      <alignment horizontal="right"/>
    </xf>
    <xf numFmtId="10" fontId="0" fillId="4" borderId="0" xfId="1" applyNumberFormat="1" applyFont="1" applyFill="1" applyAlignment="1">
      <alignment horizontal="right"/>
    </xf>
    <xf numFmtId="0" fontId="3" fillId="0" borderId="0" xfId="0" applyFont="1" applyFill="1" applyAlignment="1"/>
    <xf numFmtId="0" fontId="3" fillId="0" borderId="0" xfId="0" applyFont="1" applyFill="1"/>
    <xf numFmtId="0" fontId="3" fillId="0" borderId="0" xfId="0" applyFont="1" applyFill="1" applyAlignment="1">
      <alignment wrapText="1"/>
    </xf>
    <xf numFmtId="3" fontId="0" fillId="0" borderId="0" xfId="0" applyNumberFormat="1" applyFill="1"/>
    <xf numFmtId="0" fontId="0" fillId="0" borderId="0" xfId="0" applyFill="1"/>
    <xf numFmtId="0" fontId="2" fillId="0" borderId="0" xfId="0" applyFont="1" applyFill="1" applyAlignment="1"/>
    <xf numFmtId="0" fontId="7" fillId="0" borderId="0" xfId="0" applyFont="1" applyFill="1" applyAlignment="1"/>
    <xf numFmtId="3" fontId="3" fillId="6" borderId="1" xfId="0" applyNumberFormat="1" applyFont="1" applyFill="1" applyBorder="1"/>
    <xf numFmtId="3" fontId="7" fillId="6" borderId="1" xfId="0" applyNumberFormat="1" applyFont="1" applyFill="1" applyBorder="1" applyAlignment="1"/>
    <xf numFmtId="0" fontId="0" fillId="8" borderId="0" xfId="0" applyFill="1"/>
    <xf numFmtId="0" fontId="3" fillId="0" borderId="0" xfId="0" applyFont="1" applyAlignment="1">
      <alignment horizontal="left"/>
    </xf>
    <xf numFmtId="0" fontId="3" fillId="6" borderId="0" xfId="0" applyFont="1" applyFill="1"/>
    <xf numFmtId="0" fontId="3" fillId="6" borderId="0" xfId="0" applyFont="1" applyFill="1" applyAlignment="1">
      <alignment horizontal="right"/>
    </xf>
    <xf numFmtId="3" fontId="3" fillId="9" borderId="1" xfId="0" applyNumberFormat="1" applyFont="1" applyFill="1" applyBorder="1"/>
    <xf numFmtId="3" fontId="7" fillId="9" borderId="1" xfId="0" applyNumberFormat="1" applyFont="1" applyFill="1" applyBorder="1" applyAlignment="1"/>
    <xf numFmtId="0" fontId="7" fillId="11" borderId="0" xfId="0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0" fillId="0" borderId="0" xfId="0" applyFill="1" applyAlignment="1">
      <alignment horizontal="right" vertical="top" wrapText="1"/>
    </xf>
    <xf numFmtId="0" fontId="2" fillId="7" borderId="0" xfId="0" applyFont="1" applyFill="1" applyAlignment="1">
      <alignment horizontal="right"/>
    </xf>
    <xf numFmtId="10" fontId="0" fillId="10" borderId="0" xfId="1" applyNumberFormat="1" applyFont="1" applyFill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0" fontId="6" fillId="0" borderId="0" xfId="0" applyFont="1" applyFill="1"/>
    <xf numFmtId="0" fontId="5" fillId="0" borderId="0" xfId="0" applyFont="1" applyFill="1"/>
    <xf numFmtId="0" fontId="0" fillId="0" borderId="0" xfId="0" applyFill="1" applyAlignment="1">
      <alignment horizontal="right" wrapText="1"/>
    </xf>
    <xf numFmtId="10" fontId="0" fillId="11" borderId="0" xfId="1" applyNumberFormat="1" applyFont="1" applyFill="1"/>
    <xf numFmtId="0" fontId="0" fillId="5" borderId="0" xfId="0" applyFill="1"/>
    <xf numFmtId="0" fontId="0" fillId="9" borderId="0" xfId="0" applyFill="1"/>
    <xf numFmtId="3" fontId="0" fillId="0" borderId="0" xfId="0" applyNumberFormat="1" applyFont="1" applyAlignment="1">
      <alignment horizontal="right"/>
    </xf>
    <xf numFmtId="10" fontId="0" fillId="0" borderId="0" xfId="0" applyNumberFormat="1" applyFill="1"/>
    <xf numFmtId="0" fontId="3" fillId="5" borderId="0" xfId="0" applyFont="1" applyFill="1" applyAlignment="1">
      <alignment vertical="top" wrapText="1"/>
    </xf>
    <xf numFmtId="0" fontId="3" fillId="5" borderId="0" xfId="0" applyFont="1" applyFill="1"/>
    <xf numFmtId="0" fontId="0" fillId="2" borderId="0" xfId="0" applyFill="1" applyAlignment="1">
      <alignment wrapText="1"/>
    </xf>
    <xf numFmtId="0" fontId="3" fillId="0" borderId="0" xfId="0" applyFont="1" applyFill="1" applyAlignment="1">
      <alignment horizontal="right" wrapText="1"/>
    </xf>
    <xf numFmtId="0" fontId="3" fillId="0" borderId="0" xfId="0" applyFont="1" applyFill="1" applyAlignment="1">
      <alignment vertical="top" wrapText="1"/>
    </xf>
    <xf numFmtId="0" fontId="0" fillId="0" borderId="0" xfId="0" applyFill="1" applyAlignment="1">
      <alignment wrapText="1"/>
    </xf>
    <xf numFmtId="3" fontId="0" fillId="0" borderId="0" xfId="0" applyNumberFormat="1" applyFill="1" applyAlignment="1">
      <alignment horizontal="right"/>
    </xf>
    <xf numFmtId="2" fontId="0" fillId="0" borderId="0" xfId="1" applyNumberFormat="1" applyFont="1" applyFill="1"/>
    <xf numFmtId="9" fontId="0" fillId="0" borderId="0" xfId="1" applyNumberFormat="1" applyFont="1" applyFill="1"/>
    <xf numFmtId="0" fontId="3" fillId="0" borderId="0" xfId="0" applyFont="1" applyFill="1" applyAlignment="1">
      <alignment horizontal="left"/>
    </xf>
    <xf numFmtId="3" fontId="0" fillId="0" borderId="0" xfId="0" applyNumberFormat="1" applyFill="1" applyBorder="1" applyAlignment="1">
      <alignment horizontal="right"/>
    </xf>
    <xf numFmtId="0" fontId="0" fillId="0" borderId="0" xfId="0" applyFill="1" applyBorder="1"/>
    <xf numFmtId="3" fontId="3" fillId="0" borderId="0" xfId="0" applyNumberFormat="1" applyFont="1" applyFill="1" applyBorder="1"/>
    <xf numFmtId="3" fontId="7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3" fontId="0" fillId="0" borderId="0" xfId="0" applyNumberFormat="1" applyFill="1" applyBorder="1"/>
    <xf numFmtId="0" fontId="3" fillId="0" borderId="0" xfId="0" applyFont="1" applyFill="1" applyBorder="1"/>
    <xf numFmtId="0" fontId="7" fillId="0" borderId="0" xfId="0" applyFont="1" applyFill="1" applyBorder="1" applyAlignment="1"/>
    <xf numFmtId="0" fontId="3" fillId="0" borderId="0" xfId="0" applyFont="1" applyFill="1" applyBorder="1" applyAlignment="1">
      <alignment horizontal="right"/>
    </xf>
    <xf numFmtId="10" fontId="0" fillId="0" borderId="0" xfId="0" applyNumberFormat="1" applyFill="1" applyBorder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 wrapText="1"/>
    </xf>
    <xf numFmtId="0" fontId="3" fillId="0" borderId="0" xfId="0" applyFont="1" applyFill="1" applyAlignment="1">
      <alignment horizontal="center" vertical="top" wrapText="1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 wrapText="1"/>
    </xf>
    <xf numFmtId="0" fontId="9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right" vertical="top" wrapText="1"/>
    </xf>
    <xf numFmtId="0" fontId="0" fillId="0" borderId="0" xfId="0" applyFill="1" applyAlignment="1">
      <alignment horizontal="right" vertical="top" wrapText="1"/>
    </xf>
    <xf numFmtId="0" fontId="0" fillId="0" borderId="0" xfId="0" applyFill="1" applyAlignment="1">
      <alignment horizontal="right" wrapText="1"/>
    </xf>
    <xf numFmtId="3" fontId="0" fillId="3" borderId="0" xfId="0" applyNumberFormat="1" applyFill="1" applyAlignment="1">
      <alignment horizontal="center"/>
    </xf>
    <xf numFmtId="0" fontId="8" fillId="9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3" fillId="9" borderId="0" xfId="0" applyFont="1" applyFill="1" applyAlignment="1">
      <alignment horizontal="right" wrapText="1"/>
    </xf>
    <xf numFmtId="0" fontId="3" fillId="6" borderId="0" xfId="0" applyFont="1" applyFill="1" applyAlignment="1">
      <alignment horizontal="right" vertical="top" wrapText="1"/>
    </xf>
    <xf numFmtId="0" fontId="3" fillId="6" borderId="0" xfId="0" applyFont="1" applyFill="1" applyAlignment="1">
      <alignment horizontal="right" wrapText="1"/>
    </xf>
    <xf numFmtId="0" fontId="3" fillId="5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right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2.9847769028871436E-2"/>
          <c:y val="4.6376803126453842E-2"/>
          <c:w val="0.53784733158355313"/>
          <c:h val="0.89797103312180271"/>
        </c:manualLayout>
      </c:layout>
      <c:pieChart>
        <c:varyColors val="1"/>
        <c:ser>
          <c:idx val="0"/>
          <c:order val="0"/>
          <c:explosion val="25"/>
          <c:dPt>
            <c:idx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dPt>
            <c:idx val="1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cat>
            <c:strRef>
              <c:f>'world POP DATA'!$C$9:$C$239</c:f>
              <c:strCache>
                <c:ptCount val="231"/>
                <c:pt idx="0">
                  <c:v>China</c:v>
                </c:pt>
                <c:pt idx="1">
                  <c:v>India</c:v>
                </c:pt>
                <c:pt idx="2">
                  <c:v>United States</c:v>
                </c:pt>
                <c:pt idx="3">
                  <c:v>Indonesia</c:v>
                </c:pt>
                <c:pt idx="4">
                  <c:v>Pakistan</c:v>
                </c:pt>
                <c:pt idx="5">
                  <c:v>Nigeria</c:v>
                </c:pt>
                <c:pt idx="6">
                  <c:v>Brazil</c:v>
                </c:pt>
                <c:pt idx="7">
                  <c:v>Bangladesh</c:v>
                </c:pt>
                <c:pt idx="8">
                  <c:v>Russia</c:v>
                </c:pt>
                <c:pt idx="9">
                  <c:v>Mexico</c:v>
                </c:pt>
                <c:pt idx="10">
                  <c:v>Japan</c:v>
                </c:pt>
                <c:pt idx="11">
                  <c:v>Ethiopia</c:v>
                </c:pt>
                <c:pt idx="12">
                  <c:v>Philippines</c:v>
                </c:pt>
                <c:pt idx="13">
                  <c:v>Egypt</c:v>
                </c:pt>
                <c:pt idx="14">
                  <c:v>DR Congo</c:v>
                </c:pt>
                <c:pt idx="15">
                  <c:v>Vietnam</c:v>
                </c:pt>
                <c:pt idx="16">
                  <c:v>Iran</c:v>
                </c:pt>
                <c:pt idx="17">
                  <c:v>Turkey</c:v>
                </c:pt>
                <c:pt idx="18">
                  <c:v>Germany</c:v>
                </c:pt>
                <c:pt idx="19">
                  <c:v>Thailand</c:v>
                </c:pt>
                <c:pt idx="20">
                  <c:v>United Kingdom</c:v>
                </c:pt>
                <c:pt idx="21">
                  <c:v>Tanzania</c:v>
                </c:pt>
                <c:pt idx="22">
                  <c:v>France</c:v>
                </c:pt>
                <c:pt idx="23">
                  <c:v>South Africa</c:v>
                </c:pt>
                <c:pt idx="24">
                  <c:v>Italy</c:v>
                </c:pt>
                <c:pt idx="25">
                  <c:v>Myanmar</c:v>
                </c:pt>
                <c:pt idx="26">
                  <c:v>Kenya</c:v>
                </c:pt>
                <c:pt idx="27">
                  <c:v>Colombia</c:v>
                </c:pt>
                <c:pt idx="28">
                  <c:v>South Korea</c:v>
                </c:pt>
                <c:pt idx="29">
                  <c:v>Spain</c:v>
                </c:pt>
                <c:pt idx="30">
                  <c:v>Uganda</c:v>
                </c:pt>
                <c:pt idx="31">
                  <c:v>Sudan</c:v>
                </c:pt>
                <c:pt idx="32">
                  <c:v>Argentina</c:v>
                </c:pt>
                <c:pt idx="33">
                  <c:v>Algeria</c:v>
                </c:pt>
                <c:pt idx="34">
                  <c:v>Iraq</c:v>
                </c:pt>
                <c:pt idx="35">
                  <c:v>Afghanistan</c:v>
                </c:pt>
                <c:pt idx="36">
                  <c:v>Poland</c:v>
                </c:pt>
                <c:pt idx="37">
                  <c:v>Ukraine</c:v>
                </c:pt>
                <c:pt idx="38">
                  <c:v>Canada</c:v>
                </c:pt>
                <c:pt idx="39">
                  <c:v>Morocco</c:v>
                </c:pt>
                <c:pt idx="40">
                  <c:v>Saudi Arabia</c:v>
                </c:pt>
                <c:pt idx="41">
                  <c:v>Angola</c:v>
                </c:pt>
                <c:pt idx="42">
                  <c:v>Uzbekistan</c:v>
                </c:pt>
                <c:pt idx="43">
                  <c:v>Peru</c:v>
                </c:pt>
                <c:pt idx="44">
                  <c:v>Malaysia</c:v>
                </c:pt>
                <c:pt idx="45">
                  <c:v>Yemen</c:v>
                </c:pt>
                <c:pt idx="46">
                  <c:v>Ghana</c:v>
                </c:pt>
                <c:pt idx="47">
                  <c:v>Mozambique</c:v>
                </c:pt>
                <c:pt idx="48">
                  <c:v>Nepal</c:v>
                </c:pt>
                <c:pt idx="49">
                  <c:v>Madagascar</c:v>
                </c:pt>
                <c:pt idx="50">
                  <c:v>Venezuela</c:v>
                </c:pt>
                <c:pt idx="51">
                  <c:v>Ivory Coast</c:v>
                </c:pt>
                <c:pt idx="52">
                  <c:v>Cameroon</c:v>
                </c:pt>
                <c:pt idx="53">
                  <c:v>Niger</c:v>
                </c:pt>
                <c:pt idx="54">
                  <c:v>Australia</c:v>
                </c:pt>
                <c:pt idx="55">
                  <c:v>North Korea</c:v>
                </c:pt>
                <c:pt idx="56">
                  <c:v>Taiwan</c:v>
                </c:pt>
                <c:pt idx="57">
                  <c:v>Burkina Faso</c:v>
                </c:pt>
                <c:pt idx="58">
                  <c:v>Mali</c:v>
                </c:pt>
                <c:pt idx="59">
                  <c:v>Syria</c:v>
                </c:pt>
                <c:pt idx="60">
                  <c:v>Sri Lanka</c:v>
                </c:pt>
                <c:pt idx="61">
                  <c:v>Malawi</c:v>
                </c:pt>
                <c:pt idx="62">
                  <c:v>Zambia</c:v>
                </c:pt>
                <c:pt idx="63">
                  <c:v>Romania</c:v>
                </c:pt>
                <c:pt idx="64">
                  <c:v>Chile</c:v>
                </c:pt>
                <c:pt idx="65">
                  <c:v>Kazakhstan</c:v>
                </c:pt>
                <c:pt idx="66">
                  <c:v>Ecuador</c:v>
                </c:pt>
                <c:pt idx="67">
                  <c:v>Guatemala</c:v>
                </c:pt>
                <c:pt idx="68">
                  <c:v>Chad</c:v>
                </c:pt>
                <c:pt idx="69">
                  <c:v>Somalia</c:v>
                </c:pt>
                <c:pt idx="70">
                  <c:v>Netherlands</c:v>
                </c:pt>
                <c:pt idx="71">
                  <c:v>Senegal</c:v>
                </c:pt>
                <c:pt idx="72">
                  <c:v>Cambodia</c:v>
                </c:pt>
                <c:pt idx="73">
                  <c:v>Zimbabwe</c:v>
                </c:pt>
                <c:pt idx="74">
                  <c:v>Guinea</c:v>
                </c:pt>
                <c:pt idx="75">
                  <c:v>Rwanda</c:v>
                </c:pt>
                <c:pt idx="76">
                  <c:v>Benin</c:v>
                </c:pt>
                <c:pt idx="77">
                  <c:v>Burundi</c:v>
                </c:pt>
                <c:pt idx="78">
                  <c:v>Tunisia</c:v>
                </c:pt>
                <c:pt idx="79">
                  <c:v>Bolivia</c:v>
                </c:pt>
                <c:pt idx="80">
                  <c:v>Belgium</c:v>
                </c:pt>
                <c:pt idx="81">
                  <c:v>Haiti</c:v>
                </c:pt>
                <c:pt idx="82">
                  <c:v>Jordan</c:v>
                </c:pt>
                <c:pt idx="83">
                  <c:v>Dominican Republic</c:v>
                </c:pt>
                <c:pt idx="84">
                  <c:v>Cuba</c:v>
                </c:pt>
                <c:pt idx="85">
                  <c:v>South Sudan</c:v>
                </c:pt>
                <c:pt idx="86">
                  <c:v>Sweden</c:v>
                </c:pt>
                <c:pt idx="87">
                  <c:v>Czech Republic</c:v>
                </c:pt>
                <c:pt idx="88">
                  <c:v>Honduras</c:v>
                </c:pt>
                <c:pt idx="89">
                  <c:v>Greece</c:v>
                </c:pt>
                <c:pt idx="90">
                  <c:v>Azerbaijan</c:v>
                </c:pt>
                <c:pt idx="91">
                  <c:v>Portugal</c:v>
                </c:pt>
                <c:pt idx="92">
                  <c:v>Papua New Guinea</c:v>
                </c:pt>
                <c:pt idx="93">
                  <c:v>Hungary</c:v>
                </c:pt>
                <c:pt idx="94">
                  <c:v>Tajikistan</c:v>
                </c:pt>
                <c:pt idx="95">
                  <c:v>Belarus</c:v>
                </c:pt>
                <c:pt idx="96">
                  <c:v>United Arab Emirates</c:v>
                </c:pt>
                <c:pt idx="97">
                  <c:v>Israel</c:v>
                </c:pt>
                <c:pt idx="98">
                  <c:v>Austria</c:v>
                </c:pt>
                <c:pt idx="99">
                  <c:v>Togo</c:v>
                </c:pt>
                <c:pt idx="100">
                  <c:v>Switzerland</c:v>
                </c:pt>
                <c:pt idx="101">
                  <c:v>Sierra Leone</c:v>
                </c:pt>
                <c:pt idx="102">
                  <c:v>Laos</c:v>
                </c:pt>
                <c:pt idx="103">
                  <c:v>Hong Kong</c:v>
                </c:pt>
                <c:pt idx="104">
                  <c:v>Serbia</c:v>
                </c:pt>
                <c:pt idx="105">
                  <c:v>Nicaragua</c:v>
                </c:pt>
                <c:pt idx="106">
                  <c:v>Libya</c:v>
                </c:pt>
                <c:pt idx="107">
                  <c:v>Bulgaria</c:v>
                </c:pt>
                <c:pt idx="108">
                  <c:v>Paraguay</c:v>
                </c:pt>
                <c:pt idx="109">
                  <c:v>Kyrgyzstan</c:v>
                </c:pt>
                <c:pt idx="110">
                  <c:v>Turkmenistan</c:v>
                </c:pt>
                <c:pt idx="111">
                  <c:v>El Salvador</c:v>
                </c:pt>
                <c:pt idx="112">
                  <c:v>Singapore</c:v>
                </c:pt>
                <c:pt idx="113">
                  <c:v>Republic of the Congo</c:v>
                </c:pt>
                <c:pt idx="114">
                  <c:v>Denmark</c:v>
                </c:pt>
                <c:pt idx="115">
                  <c:v>Slovakia</c:v>
                </c:pt>
                <c:pt idx="116">
                  <c:v>Central African Republic</c:v>
                </c:pt>
                <c:pt idx="117">
                  <c:v>Finland</c:v>
                </c:pt>
                <c:pt idx="118">
                  <c:v>Lebanon</c:v>
                </c:pt>
                <c:pt idx="119">
                  <c:v>Norway</c:v>
                </c:pt>
                <c:pt idx="120">
                  <c:v>Liberia</c:v>
                </c:pt>
                <c:pt idx="121">
                  <c:v>Palestine</c:v>
                </c:pt>
                <c:pt idx="122">
                  <c:v>New Zealand</c:v>
                </c:pt>
                <c:pt idx="123">
                  <c:v>Costa Rica</c:v>
                </c:pt>
                <c:pt idx="124">
                  <c:v>Ireland</c:v>
                </c:pt>
                <c:pt idx="125">
                  <c:v>Mauritania</c:v>
                </c:pt>
                <c:pt idx="126">
                  <c:v>Oman</c:v>
                </c:pt>
                <c:pt idx="127">
                  <c:v>Panama</c:v>
                </c:pt>
                <c:pt idx="128">
                  <c:v>Kuwait</c:v>
                </c:pt>
                <c:pt idx="129">
                  <c:v>Croatia</c:v>
                </c:pt>
                <c:pt idx="130">
                  <c:v>Georgia</c:v>
                </c:pt>
                <c:pt idx="131">
                  <c:v>Eritrea</c:v>
                </c:pt>
                <c:pt idx="132">
                  <c:v>Uruguay</c:v>
                </c:pt>
                <c:pt idx="133">
                  <c:v>Mongolia</c:v>
                </c:pt>
                <c:pt idx="134">
                  <c:v>Moldova</c:v>
                </c:pt>
                <c:pt idx="135">
                  <c:v>Puerto Rico</c:v>
                </c:pt>
                <c:pt idx="136">
                  <c:v>Bosnia and Herzegovina</c:v>
                </c:pt>
                <c:pt idx="137">
                  <c:v>Albania</c:v>
                </c:pt>
                <c:pt idx="138">
                  <c:v>Jamaica</c:v>
                </c:pt>
                <c:pt idx="139">
                  <c:v>Armenia</c:v>
                </c:pt>
                <c:pt idx="140">
                  <c:v>Lithuania</c:v>
                </c:pt>
                <c:pt idx="141">
                  <c:v>Gambia</c:v>
                </c:pt>
                <c:pt idx="142">
                  <c:v>Qatar</c:v>
                </c:pt>
                <c:pt idx="143">
                  <c:v>Botswana</c:v>
                </c:pt>
                <c:pt idx="144">
                  <c:v>Namibia</c:v>
                </c:pt>
                <c:pt idx="145">
                  <c:v>Gabon</c:v>
                </c:pt>
                <c:pt idx="146">
                  <c:v>Lesotho</c:v>
                </c:pt>
                <c:pt idx="147">
                  <c:v>Slovenia</c:v>
                </c:pt>
                <c:pt idx="148">
                  <c:v>Guinea-Bissau</c:v>
                </c:pt>
                <c:pt idx="149">
                  <c:v>North Macedonia</c:v>
                </c:pt>
                <c:pt idx="150">
                  <c:v>Latvia</c:v>
                </c:pt>
                <c:pt idx="151">
                  <c:v>Equatorial Guinea</c:v>
                </c:pt>
                <c:pt idx="152">
                  <c:v>Trinidad and Tobago</c:v>
                </c:pt>
                <c:pt idx="153">
                  <c:v>Bahrain</c:v>
                </c:pt>
                <c:pt idx="154">
                  <c:v>Timor-Leste</c:v>
                </c:pt>
                <c:pt idx="155">
                  <c:v>Estonia</c:v>
                </c:pt>
                <c:pt idx="156">
                  <c:v>Mauritius</c:v>
                </c:pt>
                <c:pt idx="157">
                  <c:v>Cyprus</c:v>
                </c:pt>
                <c:pt idx="158">
                  <c:v>Eswatini</c:v>
                </c:pt>
                <c:pt idx="159">
                  <c:v>Djibouti</c:v>
                </c:pt>
                <c:pt idx="160">
                  <c:v>Reunion</c:v>
                </c:pt>
                <c:pt idx="161">
                  <c:v>Fiji</c:v>
                </c:pt>
                <c:pt idx="162">
                  <c:v>Comoros</c:v>
                </c:pt>
                <c:pt idx="163">
                  <c:v>Guyana</c:v>
                </c:pt>
                <c:pt idx="164">
                  <c:v>Bhutan</c:v>
                </c:pt>
                <c:pt idx="165">
                  <c:v>Solomon Islands</c:v>
                </c:pt>
                <c:pt idx="166">
                  <c:v>Macau</c:v>
                </c:pt>
                <c:pt idx="167">
                  <c:v>Luxembourg</c:v>
                </c:pt>
                <c:pt idx="168">
                  <c:v>Montenegro</c:v>
                </c:pt>
                <c:pt idx="169">
                  <c:v>Suriname</c:v>
                </c:pt>
                <c:pt idx="170">
                  <c:v>Cape Verde</c:v>
                </c:pt>
                <c:pt idx="171">
                  <c:v>Western Sahara</c:v>
                </c:pt>
                <c:pt idx="172">
                  <c:v>Malta</c:v>
                </c:pt>
                <c:pt idx="173">
                  <c:v>Maldives</c:v>
                </c:pt>
                <c:pt idx="174">
                  <c:v>Brunei</c:v>
                </c:pt>
                <c:pt idx="175">
                  <c:v>Bahamas</c:v>
                </c:pt>
                <c:pt idx="176">
                  <c:v>Belize</c:v>
                </c:pt>
                <c:pt idx="177">
                  <c:v>Guadeloupe</c:v>
                </c:pt>
                <c:pt idx="178">
                  <c:v>Iceland</c:v>
                </c:pt>
                <c:pt idx="179">
                  <c:v>Martinique</c:v>
                </c:pt>
                <c:pt idx="180">
                  <c:v>Vanuatu</c:v>
                </c:pt>
                <c:pt idx="181">
                  <c:v>Mayotte</c:v>
                </c:pt>
                <c:pt idx="182">
                  <c:v>French Polynesia</c:v>
                </c:pt>
                <c:pt idx="183">
                  <c:v>French Guiana</c:v>
                </c:pt>
                <c:pt idx="184">
                  <c:v>New Caledonia</c:v>
                </c:pt>
                <c:pt idx="185">
                  <c:v>Barbados</c:v>
                </c:pt>
                <c:pt idx="186">
                  <c:v>Sao Tome and Principe</c:v>
                </c:pt>
                <c:pt idx="187">
                  <c:v>Samoa</c:v>
                </c:pt>
                <c:pt idx="188">
                  <c:v>Curacao</c:v>
                </c:pt>
                <c:pt idx="189">
                  <c:v>Saint Lucia</c:v>
                </c:pt>
                <c:pt idx="190">
                  <c:v>Guam</c:v>
                </c:pt>
                <c:pt idx="191">
                  <c:v>Kiribati</c:v>
                </c:pt>
                <c:pt idx="192">
                  <c:v>Grenada</c:v>
                </c:pt>
                <c:pt idx="193">
                  <c:v>Micronesia</c:v>
                </c:pt>
                <c:pt idx="194">
                  <c:v>Jersey</c:v>
                </c:pt>
                <c:pt idx="195">
                  <c:v>Seychelles</c:v>
                </c:pt>
                <c:pt idx="196">
                  <c:v>Tonga</c:v>
                </c:pt>
                <c:pt idx="197">
                  <c:v>Aruba</c:v>
                </c:pt>
                <c:pt idx="198">
                  <c:v>Saint Vincent and the Grenadines</c:v>
                </c:pt>
                <c:pt idx="199">
                  <c:v>United States Virgin Islands</c:v>
                </c:pt>
                <c:pt idx="200">
                  <c:v>Antigua and Barbuda</c:v>
                </c:pt>
                <c:pt idx="201">
                  <c:v>Isle of Man</c:v>
                </c:pt>
                <c:pt idx="202">
                  <c:v>Andorra</c:v>
                </c:pt>
                <c:pt idx="203">
                  <c:v>Dominica</c:v>
                </c:pt>
                <c:pt idx="204">
                  <c:v>Cayman Islands</c:v>
                </c:pt>
                <c:pt idx="205">
                  <c:v>Bermuda</c:v>
                </c:pt>
                <c:pt idx="206">
                  <c:v>Guernsey</c:v>
                </c:pt>
                <c:pt idx="207">
                  <c:v>Greenland</c:v>
                </c:pt>
                <c:pt idx="208">
                  <c:v>Faroe Islands</c:v>
                </c:pt>
                <c:pt idx="209">
                  <c:v>Northern Mariana Islands</c:v>
                </c:pt>
                <c:pt idx="210">
                  <c:v>Saint Kitts and Nevis</c:v>
                </c:pt>
                <c:pt idx="211">
                  <c:v>Turks and Caicos Islands</c:v>
                </c:pt>
                <c:pt idx="212">
                  <c:v>American Samoa</c:v>
                </c:pt>
                <c:pt idx="213">
                  <c:v>Sint Maarten</c:v>
                </c:pt>
                <c:pt idx="214">
                  <c:v>Marshall Islands</c:v>
                </c:pt>
                <c:pt idx="215">
                  <c:v>Liechtenstein</c:v>
                </c:pt>
                <c:pt idx="216">
                  <c:v>Monaco</c:v>
                </c:pt>
                <c:pt idx="217">
                  <c:v>San Marino</c:v>
                </c:pt>
                <c:pt idx="218">
                  <c:v>Gibraltar</c:v>
                </c:pt>
                <c:pt idx="219">
                  <c:v>Saint Martin</c:v>
                </c:pt>
                <c:pt idx="220">
                  <c:v>British Virgin Islands</c:v>
                </c:pt>
                <c:pt idx="221">
                  <c:v>Palau</c:v>
                </c:pt>
                <c:pt idx="222">
                  <c:v>Cook Islands</c:v>
                </c:pt>
                <c:pt idx="223">
                  <c:v>Anguilla</c:v>
                </c:pt>
                <c:pt idx="224">
                  <c:v>Nauru</c:v>
                </c:pt>
                <c:pt idx="225">
                  <c:v>Wallis and Futuna</c:v>
                </c:pt>
                <c:pt idx="226">
                  <c:v>Tuvalu</c:v>
                </c:pt>
                <c:pt idx="227">
                  <c:v>Saint Barthelemy</c:v>
                </c:pt>
                <c:pt idx="228">
                  <c:v>Saint Pierre and Miquelon</c:v>
                </c:pt>
                <c:pt idx="229">
                  <c:v>Montserrat</c:v>
                </c:pt>
                <c:pt idx="230">
                  <c:v>Falkland Islands</c:v>
                </c:pt>
              </c:strCache>
            </c:strRef>
          </c:cat>
          <c:val>
            <c:numRef>
              <c:f>'world POP DATA'!$AC$9:$AC$239</c:f>
              <c:numCache>
                <c:formatCode>#,##0</c:formatCode>
                <c:ptCount val="231"/>
                <c:pt idx="0">
                  <c:v>1551828934.968544</c:v>
                </c:pt>
                <c:pt idx="1">
                  <c:v>1635904139.6830502</c:v>
                </c:pt>
                <c:pt idx="2">
                  <c:v>366687531.82597941</c:v>
                </c:pt>
                <c:pt idx="3">
                  <c:v>315039029.47899228</c:v>
                </c:pt>
                <c:pt idx="4">
                  <c:v>291632561.3944732</c:v>
                </c:pt>
                <c:pt idx="5">
                  <c:v>269789756.01274896</c:v>
                </c:pt>
                <c:pt idx="6">
                  <c:v>243659617.589261</c:v>
                </c:pt>
                <c:pt idx="7">
                  <c:v>197518173.29673555</c:v>
                </c:pt>
                <c:pt idx="8">
                  <c:v>147104029.86747959</c:v>
                </c:pt>
                <c:pt idx="9">
                  <c:v>147124688.80200568</c:v>
                </c:pt>
                <c:pt idx="10">
                  <c:v>127079172.4311204</c:v>
                </c:pt>
                <c:pt idx="11">
                  <c:v>154740215.18156967</c:v>
                </c:pt>
                <c:pt idx="12">
                  <c:v>137440412.776878</c:v>
                </c:pt>
                <c:pt idx="13">
                  <c:v>132681975.17534958</c:v>
                </c:pt>
                <c:pt idx="14">
                  <c:v>126486517.37019224</c:v>
                </c:pt>
                <c:pt idx="15">
                  <c:v>111919490.69188842</c:v>
                </c:pt>
                <c:pt idx="16">
                  <c:v>105452041.25448717</c:v>
                </c:pt>
                <c:pt idx="17">
                  <c:v>97653217.925157353</c:v>
                </c:pt>
                <c:pt idx="18">
                  <c:v>84179334.199335143</c:v>
                </c:pt>
                <c:pt idx="19">
                  <c:v>79784659.580106884</c:v>
                </c:pt>
                <c:pt idx="20">
                  <c:v>69545359.321018413</c:v>
                </c:pt>
                <c:pt idx="21">
                  <c:v>83399969.795888051</c:v>
                </c:pt>
                <c:pt idx="22">
                  <c:v>67121293.355166778</c:v>
                </c:pt>
                <c:pt idx="23">
                  <c:v>69693148.146362334</c:v>
                </c:pt>
                <c:pt idx="24">
                  <c:v>59969233.617254004</c:v>
                </c:pt>
                <c:pt idx="25">
                  <c:v>60209890.846793354</c:v>
                </c:pt>
                <c:pt idx="26">
                  <c:v>68571420.960145801</c:v>
                </c:pt>
                <c:pt idx="27">
                  <c:v>59658477.774963968</c:v>
                </c:pt>
                <c:pt idx="28">
                  <c:v>55644298.381099999</c:v>
                </c:pt>
                <c:pt idx="29">
                  <c:v>50125793.441954114</c:v>
                </c:pt>
                <c:pt idx="30">
                  <c:v>59712467.856974222</c:v>
                </c:pt>
                <c:pt idx="31">
                  <c:v>58338843.754403688</c:v>
                </c:pt>
                <c:pt idx="32">
                  <c:v>50269269.197278813</c:v>
                </c:pt>
                <c:pt idx="33">
                  <c:v>53842825.844476007</c:v>
                </c:pt>
                <c:pt idx="34">
                  <c:v>56148292.151042223</c:v>
                </c:pt>
                <c:pt idx="35">
                  <c:v>50556750.998569138</c:v>
                </c:pt>
                <c:pt idx="36">
                  <c:v>41131594.252485611</c:v>
                </c:pt>
                <c:pt idx="37">
                  <c:v>38649050.696095526</c:v>
                </c:pt>
                <c:pt idx="38">
                  <c:v>42072278.250332236</c:v>
                </c:pt>
                <c:pt idx="39">
                  <c:v>43001129.359314144</c:v>
                </c:pt>
                <c:pt idx="40">
                  <c:v>47918639.99880489</c:v>
                </c:pt>
                <c:pt idx="41">
                  <c:v>46766414.648055464</c:v>
                </c:pt>
                <c:pt idx="42">
                  <c:v>40753625.296136267</c:v>
                </c:pt>
                <c:pt idx="43">
                  <c:v>39229782.327483855</c:v>
                </c:pt>
                <c:pt idx="44">
                  <c:v>40767716.431266837</c:v>
                </c:pt>
                <c:pt idx="45">
                  <c:v>43061994.400494859</c:v>
                </c:pt>
                <c:pt idx="46">
                  <c:v>41070754.745388366</c:v>
                </c:pt>
                <c:pt idx="47">
                  <c:v>40679794.105554953</c:v>
                </c:pt>
                <c:pt idx="48">
                  <c:v>35048749.459509827</c:v>
                </c:pt>
                <c:pt idx="49">
                  <c:v>37269851.47463768</c:v>
                </c:pt>
                <c:pt idx="50">
                  <c:v>32570839.111810375</c:v>
                </c:pt>
                <c:pt idx="51">
                  <c:v>36227610.835007899</c:v>
                </c:pt>
                <c:pt idx="52">
                  <c:v>34969494.084746525</c:v>
                </c:pt>
                <c:pt idx="53">
                  <c:v>34173258.148021743</c:v>
                </c:pt>
                <c:pt idx="54">
                  <c:v>29295968.526985016</c:v>
                </c:pt>
                <c:pt idx="55">
                  <c:v>28384055.221734833</c:v>
                </c:pt>
                <c:pt idx="56">
                  <c:v>25678603.235079456</c:v>
                </c:pt>
                <c:pt idx="57">
                  <c:v>28107406.777115144</c:v>
                </c:pt>
                <c:pt idx="58">
                  <c:v>27598552.509020422</c:v>
                </c:pt>
                <c:pt idx="59">
                  <c:v>26829665.904788747</c:v>
                </c:pt>
                <c:pt idx="60">
                  <c:v>23820617.490595497</c:v>
                </c:pt>
                <c:pt idx="61">
                  <c:v>25639845.433713552</c:v>
                </c:pt>
                <c:pt idx="62">
                  <c:v>25378142.99676815</c:v>
                </c:pt>
                <c:pt idx="63">
                  <c:v>19619061.598978303</c:v>
                </c:pt>
                <c:pt idx="64">
                  <c:v>21803404.916540649</c:v>
                </c:pt>
                <c:pt idx="65">
                  <c:v>20815381.774278797</c:v>
                </c:pt>
                <c:pt idx="66">
                  <c:v>21223298.186990805</c:v>
                </c:pt>
                <c:pt idx="67">
                  <c:v>21413901.865772016</c:v>
                </c:pt>
                <c:pt idx="68">
                  <c:v>22584191.83954256</c:v>
                </c:pt>
                <c:pt idx="69">
                  <c:v>22349393.744932052</c:v>
                </c:pt>
                <c:pt idx="70">
                  <c:v>18388023.281997677</c:v>
                </c:pt>
                <c:pt idx="71">
                  <c:v>21403749.67694474</c:v>
                </c:pt>
                <c:pt idx="72">
                  <c:v>19305670.315600481</c:v>
                </c:pt>
                <c:pt idx="73">
                  <c:v>19458848.240324359</c:v>
                </c:pt>
                <c:pt idx="74">
                  <c:v>16640094.678890163</c:v>
                </c:pt>
                <c:pt idx="75">
                  <c:v>16731215.359500004</c:v>
                </c:pt>
                <c:pt idx="76">
                  <c:v>16780943.314374428</c:v>
                </c:pt>
                <c:pt idx="77">
                  <c:v>15753721.379877284</c:v>
                </c:pt>
                <c:pt idx="78">
                  <c:v>14180761.141377097</c:v>
                </c:pt>
                <c:pt idx="79">
                  <c:v>14214344.267478501</c:v>
                </c:pt>
                <c:pt idx="80">
                  <c:v>12003510.652916767</c:v>
                </c:pt>
                <c:pt idx="81">
                  <c:v>13318209.445532529</c:v>
                </c:pt>
                <c:pt idx="82">
                  <c:v>15306100.354207352</c:v>
                </c:pt>
                <c:pt idx="83">
                  <c:v>12935672.743289547</c:v>
                </c:pt>
                <c:pt idx="84">
                  <c:v>11623841.261161704</c:v>
                </c:pt>
                <c:pt idx="85">
                  <c:v>13092145.685397675</c:v>
                </c:pt>
                <c:pt idx="86">
                  <c:v>11002136.125926141</c:v>
                </c:pt>
                <c:pt idx="87">
                  <c:v>10605739.367246088</c:v>
                </c:pt>
                <c:pt idx="88">
                  <c:v>12784981.552210493</c:v>
                </c:pt>
                <c:pt idx="89">
                  <c:v>10701286.896843428</c:v>
                </c:pt>
                <c:pt idx="90">
                  <c:v>11441614.213410061</c:v>
                </c:pt>
                <c:pt idx="91">
                  <c:v>10539579.312886095</c:v>
                </c:pt>
                <c:pt idx="92">
                  <c:v>12589658.382750686</c:v>
                </c:pt>
                <c:pt idx="93">
                  <c:v>9914813.0660536345</c:v>
                </c:pt>
                <c:pt idx="94">
                  <c:v>11973663.63687288</c:v>
                </c:pt>
                <c:pt idx="95">
                  <c:v>9592249.2450500727</c:v>
                </c:pt>
                <c:pt idx="96">
                  <c:v>16065660.605864078</c:v>
                </c:pt>
                <c:pt idx="97">
                  <c:v>10761460.837788058</c:v>
                </c:pt>
                <c:pt idx="98">
                  <c:v>9190956.1847135257</c:v>
                </c:pt>
                <c:pt idx="99">
                  <c:v>10963577.561044551</c:v>
                </c:pt>
                <c:pt idx="100">
                  <c:v>9218974.3763720207</c:v>
                </c:pt>
                <c:pt idx="101">
                  <c:v>10240487.182985514</c:v>
                </c:pt>
                <c:pt idx="102">
                  <c:v>8828814.3095706273</c:v>
                </c:pt>
                <c:pt idx="103">
                  <c:v>8261742.0971818697</c:v>
                </c:pt>
                <c:pt idx="104">
                  <c:v>7225656.3933930052</c:v>
                </c:pt>
                <c:pt idx="105">
                  <c:v>8159736.4664468272</c:v>
                </c:pt>
                <c:pt idx="106">
                  <c:v>8284927.5539175393</c:v>
                </c:pt>
                <c:pt idx="107">
                  <c:v>6540622.9384836378</c:v>
                </c:pt>
                <c:pt idx="108">
                  <c:v>7951113.5558558311</c:v>
                </c:pt>
                <c:pt idx="109">
                  <c:v>7484798.9099354297</c:v>
                </c:pt>
                <c:pt idx="110">
                  <c:v>7583806.4202278163</c:v>
                </c:pt>
                <c:pt idx="111">
                  <c:v>6906594.9013726404</c:v>
                </c:pt>
                <c:pt idx="112">
                  <c:v>7038589.9840034461</c:v>
                </c:pt>
                <c:pt idx="113">
                  <c:v>7465402.0783296563</c:v>
                </c:pt>
                <c:pt idx="114">
                  <c:v>6045598.8167916751</c:v>
                </c:pt>
                <c:pt idx="115">
                  <c:v>5838944.0234303838</c:v>
                </c:pt>
                <c:pt idx="116">
                  <c:v>6499780.5547455233</c:v>
                </c:pt>
                <c:pt idx="117">
                  <c:v>5700388.0595420795</c:v>
                </c:pt>
                <c:pt idx="118">
                  <c:v>6242286.6006652685</c:v>
                </c:pt>
                <c:pt idx="119">
                  <c:v>5724421.7826597234</c:v>
                </c:pt>
                <c:pt idx="120">
                  <c:v>6464105.5144605143</c:v>
                </c:pt>
                <c:pt idx="121">
                  <c:v>6660286.7615570519</c:v>
                </c:pt>
                <c:pt idx="122">
                  <c:v>5693413.1451278469</c:v>
                </c:pt>
                <c:pt idx="123">
                  <c:v>6067336.1496804925</c:v>
                </c:pt>
                <c:pt idx="124">
                  <c:v>5455252.1470924178</c:v>
                </c:pt>
                <c:pt idx="125">
                  <c:v>5910618.0226108879</c:v>
                </c:pt>
                <c:pt idx="126">
                  <c:v>6149227.08674883</c:v>
                </c:pt>
                <c:pt idx="127">
                  <c:v>5195335.0224666083</c:v>
                </c:pt>
                <c:pt idx="128">
                  <c:v>5520284.4521885049</c:v>
                </c:pt>
                <c:pt idx="129">
                  <c:v>3963588.6673619393</c:v>
                </c:pt>
                <c:pt idx="130">
                  <c:v>3603965.352759528</c:v>
                </c:pt>
                <c:pt idx="131">
                  <c:v>4338462.5296800798</c:v>
                </c:pt>
                <c:pt idx="132">
                  <c:v>3532094.7748015178</c:v>
                </c:pt>
                <c:pt idx="133">
                  <c:v>3942662.0970189208</c:v>
                </c:pt>
                <c:pt idx="134">
                  <c:v>3210342.3040139331</c:v>
                </c:pt>
                <c:pt idx="135">
                  <c:v>3339777.1123326663</c:v>
                </c:pt>
                <c:pt idx="136">
                  <c:v>3152227.7024973035</c:v>
                </c:pt>
                <c:pt idx="137">
                  <c:v>2931594.8976944839</c:v>
                </c:pt>
                <c:pt idx="138">
                  <c:v>3015758.0875172019</c:v>
                </c:pt>
                <c:pt idx="139">
                  <c:v>2820394.6276821489</c:v>
                </c:pt>
                <c:pt idx="140">
                  <c:v>2685378.1464423887</c:v>
                </c:pt>
                <c:pt idx="141">
                  <c:v>3478704.5427371957</c:v>
                </c:pt>
                <c:pt idx="142">
                  <c:v>4361186.7549646823</c:v>
                </c:pt>
                <c:pt idx="143">
                  <c:v>3308419.847817353</c:v>
                </c:pt>
                <c:pt idx="144">
                  <c:v>3099141.3421939998</c:v>
                </c:pt>
                <c:pt idx="145">
                  <c:v>2956960.8500438621</c:v>
                </c:pt>
                <c:pt idx="146">
                  <c:v>2612733.0857013557</c:v>
                </c:pt>
                <c:pt idx="147">
                  <c:v>2184980.4869516394</c:v>
                </c:pt>
                <c:pt idx="148">
                  <c:v>2559666.5294436025</c:v>
                </c:pt>
                <c:pt idx="149">
                  <c:v>2170343.92217858</c:v>
                </c:pt>
                <c:pt idx="150">
                  <c:v>1778399.6765626234</c:v>
                </c:pt>
                <c:pt idx="151">
                  <c:v>2163817.8696395336</c:v>
                </c:pt>
                <c:pt idx="152">
                  <c:v>1637547.0142926041</c:v>
                </c:pt>
                <c:pt idx="153">
                  <c:v>1968853.2506947601</c:v>
                </c:pt>
                <c:pt idx="154">
                  <c:v>1536743.2236883128</c:v>
                </c:pt>
                <c:pt idx="155">
                  <c:v>1320618.0259454136</c:v>
                </c:pt>
                <c:pt idx="156">
                  <c:v>1392222.475928002</c:v>
                </c:pt>
                <c:pt idx="157">
                  <c:v>1387234.8597896562</c:v>
                </c:pt>
                <c:pt idx="158">
                  <c:v>1401133.9587954348</c:v>
                </c:pt>
                <c:pt idx="159">
                  <c:v>1536302.7685068063</c:v>
                </c:pt>
                <c:pt idx="160">
                  <c:v>1088219.1817271386</c:v>
                </c:pt>
                <c:pt idx="161">
                  <c:v>1014439.3916984278</c:v>
                </c:pt>
                <c:pt idx="162">
                  <c:v>1012517.5060731921</c:v>
                </c:pt>
                <c:pt idx="163">
                  <c:v>825938.66220488958</c:v>
                </c:pt>
                <c:pt idx="164">
                  <c:v>907315.15694639378</c:v>
                </c:pt>
                <c:pt idx="165">
                  <c:v>902894.49977462739</c:v>
                </c:pt>
                <c:pt idx="166">
                  <c:v>814986.37864756293</c:v>
                </c:pt>
                <c:pt idx="167">
                  <c:v>715296.24805882527</c:v>
                </c:pt>
                <c:pt idx="168">
                  <c:v>643470.71022976842</c:v>
                </c:pt>
                <c:pt idx="169">
                  <c:v>666083.05575173511</c:v>
                </c:pt>
                <c:pt idx="170">
                  <c:v>663143.8472219134</c:v>
                </c:pt>
                <c:pt idx="171">
                  <c:v>785976.17459533061</c:v>
                </c:pt>
                <c:pt idx="172">
                  <c:v>578161.66556583403</c:v>
                </c:pt>
                <c:pt idx="173">
                  <c:v>654380.6932639404</c:v>
                </c:pt>
                <c:pt idx="174">
                  <c:v>541212.69618677069</c:v>
                </c:pt>
                <c:pt idx="175">
                  <c:v>465682.7384330986</c:v>
                </c:pt>
                <c:pt idx="176">
                  <c:v>488160.17274037749</c:v>
                </c:pt>
                <c:pt idx="177">
                  <c:v>409235.0146096524</c:v>
                </c:pt>
                <c:pt idx="178">
                  <c:v>409015.54499661695</c:v>
                </c:pt>
                <c:pt idx="179">
                  <c:v>374270.27859506436</c:v>
                </c:pt>
                <c:pt idx="180">
                  <c:v>400498.12930384517</c:v>
                </c:pt>
                <c:pt idx="181">
                  <c:v>458929.09180025483</c:v>
                </c:pt>
                <c:pt idx="182">
                  <c:v>354737.79470259394</c:v>
                </c:pt>
                <c:pt idx="183">
                  <c:v>406689.73951566097</c:v>
                </c:pt>
                <c:pt idx="184">
                  <c:v>336114.93897727871</c:v>
                </c:pt>
                <c:pt idx="185">
                  <c:v>288394.75477267453</c:v>
                </c:pt>
                <c:pt idx="186">
                  <c:v>268284.89083965658</c:v>
                </c:pt>
                <c:pt idx="187">
                  <c:v>238072.26600997825</c:v>
                </c:pt>
                <c:pt idx="188">
                  <c:v>198351.04901817947</c:v>
                </c:pt>
                <c:pt idx="189">
                  <c:v>195935.72260839352</c:v>
                </c:pt>
                <c:pt idx="190">
                  <c:v>190291.09429753319</c:v>
                </c:pt>
                <c:pt idx="191">
                  <c:v>149020.88290696495</c:v>
                </c:pt>
                <c:pt idx="192">
                  <c:v>130131.59240434022</c:v>
                </c:pt>
                <c:pt idx="193">
                  <c:v>126370.532133024</c:v>
                </c:pt>
                <c:pt idx="194">
                  <c:v>119321.93816972879</c:v>
                </c:pt>
                <c:pt idx="195">
                  <c:v>118893.89885318336</c:v>
                </c:pt>
                <c:pt idx="196">
                  <c:v>110392.88505747826</c:v>
                </c:pt>
                <c:pt idx="197">
                  <c:v>116528.455141599</c:v>
                </c:pt>
                <c:pt idx="198">
                  <c:v>104819.20548267874</c:v>
                </c:pt>
                <c:pt idx="199">
                  <c:v>106588.71246948667</c:v>
                </c:pt>
                <c:pt idx="200">
                  <c:v>99314.024401949122</c:v>
                </c:pt>
                <c:pt idx="201">
                  <c:v>90219.356099515091</c:v>
                </c:pt>
                <c:pt idx="202">
                  <c:v>98873.5876978749</c:v>
                </c:pt>
                <c:pt idx="203">
                  <c:v>73346.801819797736</c:v>
                </c:pt>
                <c:pt idx="204">
                  <c:v>91683.993911918005</c:v>
                </c:pt>
                <c:pt idx="205">
                  <c:v>66292.975837932274</c:v>
                </c:pt>
                <c:pt idx="206">
                  <c:v>65119.720163817357</c:v>
                </c:pt>
                <c:pt idx="207">
                  <c:v>58386.310361963493</c:v>
                </c:pt>
                <c:pt idx="208">
                  <c:v>55799.22918387274</c:v>
                </c:pt>
                <c:pt idx="209">
                  <c:v>63246.265194944732</c:v>
                </c:pt>
                <c:pt idx="210">
                  <c:v>48084.729947281783</c:v>
                </c:pt>
                <c:pt idx="211">
                  <c:v>63014.995235941606</c:v>
                </c:pt>
                <c:pt idx="212">
                  <c:v>47752.481964859922</c:v>
                </c:pt>
                <c:pt idx="213">
                  <c:v>59666.525209183637</c:v>
                </c:pt>
                <c:pt idx="214">
                  <c:v>45243.606585172216</c:v>
                </c:pt>
                <c:pt idx="215">
                  <c:v>43283.955920180342</c:v>
                </c:pt>
                <c:pt idx="216">
                  <c:v>38826.851497251002</c:v>
                </c:pt>
                <c:pt idx="217">
                  <c:v>37009.354431729269</c:v>
                </c:pt>
                <c:pt idx="218">
                  <c:v>33678.071821554455</c:v>
                </c:pt>
                <c:pt idx="219">
                  <c:v>41300.414882640784</c:v>
                </c:pt>
                <c:pt idx="220">
                  <c:v>37559.676379235963</c:v>
                </c:pt>
                <c:pt idx="221">
                  <c:v>19387.374823753031</c:v>
                </c:pt>
                <c:pt idx="222">
                  <c:v>16533.410937483746</c:v>
                </c:pt>
                <c:pt idx="223">
                  <c:v>18284.179767999252</c:v>
                </c:pt>
                <c:pt idx="224">
                  <c:v>13984.180305602313</c:v>
                </c:pt>
                <c:pt idx="225">
                  <c:v>11952.573592778386</c:v>
                </c:pt>
                <c:pt idx="226">
                  <c:v>12531.724475316089</c:v>
                </c:pt>
                <c:pt idx="227">
                  <c:v>13839.988183588262</c:v>
                </c:pt>
                <c:pt idx="228">
                  <c:v>5913.6658593664379</c:v>
                </c:pt>
                <c:pt idx="229">
                  <c:v>3790.4672485894012</c:v>
                </c:pt>
                <c:pt idx="230">
                  <c:v>4087.3878728958343</c:v>
                </c:pt>
              </c:numCache>
            </c:numRef>
          </c:val>
        </c:ser>
        <c:firstSliceAng val="0"/>
      </c:pieChart>
    </c:plotArea>
    <c:legend>
      <c:legendPos val="r"/>
      <c:layout>
        <c:manualLayout>
          <c:xMode val="edge"/>
          <c:yMode val="edge"/>
          <c:x val="0.69454717866971505"/>
          <c:y val="3.0412899483586858E-3"/>
          <c:w val="0.301486424545862"/>
          <c:h val="0.93482278349924208"/>
        </c:manualLayout>
      </c:layout>
    </c:legend>
    <c:plotVisOnly val="1"/>
  </c:chart>
  <c:spPr>
    <a:ln>
      <a:noFill/>
    </a:ln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</c:spPr>
          <c:cat>
            <c:strRef>
              <c:f>'[3]Raw Sheet'!$C$248:$C$257</c:f>
              <c:strCache>
                <c:ptCount val="10"/>
                <c:pt idx="0">
                  <c:v>China</c:v>
                </c:pt>
                <c:pt idx="1">
                  <c:v>India</c:v>
                </c:pt>
                <c:pt idx="2">
                  <c:v>United States</c:v>
                </c:pt>
                <c:pt idx="3">
                  <c:v>Indonesia</c:v>
                </c:pt>
                <c:pt idx="4">
                  <c:v>Pakistan</c:v>
                </c:pt>
                <c:pt idx="5">
                  <c:v>Nigeria</c:v>
                </c:pt>
                <c:pt idx="6">
                  <c:v>Brazil</c:v>
                </c:pt>
                <c:pt idx="7">
                  <c:v>Bangladesh</c:v>
                </c:pt>
                <c:pt idx="8">
                  <c:v>Russia</c:v>
                </c:pt>
                <c:pt idx="9">
                  <c:v>Mexico</c:v>
                </c:pt>
              </c:strCache>
            </c:strRef>
          </c:cat>
          <c:val>
            <c:numRef>
              <c:f>'[3]Raw Sheet'!$D$248:$D$257</c:f>
              <c:numCache>
                <c:formatCode>General</c:formatCode>
                <c:ptCount val="10"/>
                <c:pt idx="0">
                  <c:v>822534450</c:v>
                </c:pt>
                <c:pt idx="1">
                  <c:v>557501301</c:v>
                </c:pt>
                <c:pt idx="2">
                  <c:v>200328340</c:v>
                </c:pt>
                <c:pt idx="3">
                  <c:v>115228394</c:v>
                </c:pt>
                <c:pt idx="4">
                  <c:v>59290872</c:v>
                </c:pt>
                <c:pt idx="5">
                  <c:v>55569264</c:v>
                </c:pt>
                <c:pt idx="6">
                  <c:v>96369875</c:v>
                </c:pt>
                <c:pt idx="7">
                  <c:v>67541860</c:v>
                </c:pt>
                <c:pt idx="8">
                  <c:v>130093010</c:v>
                </c:pt>
                <c:pt idx="9">
                  <c:v>50289306</c:v>
                </c:pt>
              </c:numCache>
            </c:numRef>
          </c:val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</c:spPr>
          <c:cat>
            <c:strRef>
              <c:f>'[3]Raw Sheet'!$C$248:$C$257</c:f>
              <c:strCache>
                <c:ptCount val="10"/>
                <c:pt idx="0">
                  <c:v>China</c:v>
                </c:pt>
                <c:pt idx="1">
                  <c:v>India</c:v>
                </c:pt>
                <c:pt idx="2">
                  <c:v>United States</c:v>
                </c:pt>
                <c:pt idx="3">
                  <c:v>Indonesia</c:v>
                </c:pt>
                <c:pt idx="4">
                  <c:v>Pakistan</c:v>
                </c:pt>
                <c:pt idx="5">
                  <c:v>Nigeria</c:v>
                </c:pt>
                <c:pt idx="6">
                  <c:v>Brazil</c:v>
                </c:pt>
                <c:pt idx="7">
                  <c:v>Bangladesh</c:v>
                </c:pt>
                <c:pt idx="8">
                  <c:v>Russia</c:v>
                </c:pt>
                <c:pt idx="9">
                  <c:v>Mexico</c:v>
                </c:pt>
              </c:strCache>
            </c:strRef>
          </c:cat>
          <c:val>
            <c:numRef>
              <c:f>'[3]Raw Sheet'!$E$248:$E$257</c:f>
              <c:numCache>
                <c:formatCode>General</c:formatCode>
                <c:ptCount val="10"/>
                <c:pt idx="0">
                  <c:v>1425887337</c:v>
                </c:pt>
                <c:pt idx="1">
                  <c:v>1417173173</c:v>
                </c:pt>
                <c:pt idx="2">
                  <c:v>338289857</c:v>
                </c:pt>
                <c:pt idx="3">
                  <c:v>275501339</c:v>
                </c:pt>
                <c:pt idx="4">
                  <c:v>235824862</c:v>
                </c:pt>
                <c:pt idx="5">
                  <c:v>218541212</c:v>
                </c:pt>
                <c:pt idx="6">
                  <c:v>215313498</c:v>
                </c:pt>
                <c:pt idx="7">
                  <c:v>171186372</c:v>
                </c:pt>
                <c:pt idx="8">
                  <c:v>144713314</c:v>
                </c:pt>
                <c:pt idx="9">
                  <c:v>127504125</c:v>
                </c:pt>
              </c:numCache>
            </c:numRef>
          </c:val>
        </c:ser>
        <c:overlap val="100"/>
        <c:axId val="142960512"/>
        <c:axId val="142962048"/>
      </c:barChart>
      <c:catAx>
        <c:axId val="142960512"/>
        <c:scaling>
          <c:orientation val="minMax"/>
        </c:scaling>
        <c:axPos val="b"/>
        <c:tickLblPos val="nextTo"/>
        <c:crossAx val="142962048"/>
        <c:crosses val="autoZero"/>
        <c:auto val="1"/>
        <c:lblAlgn val="ctr"/>
        <c:lblOffset val="100"/>
      </c:catAx>
      <c:valAx>
        <c:axId val="142962048"/>
        <c:scaling>
          <c:orientation val="minMax"/>
        </c:scaling>
        <c:axPos val="l"/>
        <c:numFmt formatCode="General" sourceLinked="1"/>
        <c:tickLblPos val="nextTo"/>
        <c:crossAx val="1429605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</c:spPr>
          <c:cat>
            <c:strRef>
              <c:f>'[3]Raw Sheet'!$C$271:$C$280</c:f>
              <c:strCache>
                <c:ptCount val="10"/>
                <c:pt idx="0">
                  <c:v>Palau</c:v>
                </c:pt>
                <c:pt idx="1">
                  <c:v>Cook Islands</c:v>
                </c:pt>
                <c:pt idx="2">
                  <c:v>Anguilla</c:v>
                </c:pt>
                <c:pt idx="3">
                  <c:v>Nauru</c:v>
                </c:pt>
                <c:pt idx="4">
                  <c:v>Wallis and Futuna</c:v>
                </c:pt>
                <c:pt idx="5">
                  <c:v>Tuvalu</c:v>
                </c:pt>
                <c:pt idx="6">
                  <c:v>Saint Barthelemy</c:v>
                </c:pt>
                <c:pt idx="7">
                  <c:v>Saint Pierre and Miquelon</c:v>
                </c:pt>
                <c:pt idx="8">
                  <c:v>Montserrat</c:v>
                </c:pt>
                <c:pt idx="9">
                  <c:v>Falkland Islands</c:v>
                </c:pt>
              </c:strCache>
            </c:strRef>
          </c:cat>
          <c:val>
            <c:numRef>
              <c:f>'[3]Raw Sheet'!$D$271:$D$280</c:f>
              <c:numCache>
                <c:formatCode>General</c:formatCode>
                <c:ptCount val="10"/>
                <c:pt idx="0">
                  <c:v>11366</c:v>
                </c:pt>
                <c:pt idx="1">
                  <c:v>20470</c:v>
                </c:pt>
                <c:pt idx="2">
                  <c:v>6283</c:v>
                </c:pt>
                <c:pt idx="3">
                  <c:v>6663</c:v>
                </c:pt>
                <c:pt idx="4">
                  <c:v>9377</c:v>
                </c:pt>
                <c:pt idx="5">
                  <c:v>5814</c:v>
                </c:pt>
                <c:pt idx="6">
                  <c:v>2417</c:v>
                </c:pt>
                <c:pt idx="7">
                  <c:v>5537</c:v>
                </c:pt>
                <c:pt idx="8">
                  <c:v>11402</c:v>
                </c:pt>
                <c:pt idx="9">
                  <c:v>2274</c:v>
                </c:pt>
              </c:numCache>
            </c:numRef>
          </c:val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</c:spPr>
          <c:cat>
            <c:strRef>
              <c:f>'[3]Raw Sheet'!$C$271:$C$280</c:f>
              <c:strCache>
                <c:ptCount val="10"/>
                <c:pt idx="0">
                  <c:v>Palau</c:v>
                </c:pt>
                <c:pt idx="1">
                  <c:v>Cook Islands</c:v>
                </c:pt>
                <c:pt idx="2">
                  <c:v>Anguilla</c:v>
                </c:pt>
                <c:pt idx="3">
                  <c:v>Nauru</c:v>
                </c:pt>
                <c:pt idx="4">
                  <c:v>Wallis and Futuna</c:v>
                </c:pt>
                <c:pt idx="5">
                  <c:v>Tuvalu</c:v>
                </c:pt>
                <c:pt idx="6">
                  <c:v>Saint Barthelemy</c:v>
                </c:pt>
                <c:pt idx="7">
                  <c:v>Saint Pierre and Miquelon</c:v>
                </c:pt>
                <c:pt idx="8">
                  <c:v>Montserrat</c:v>
                </c:pt>
                <c:pt idx="9">
                  <c:v>Falkland Islands</c:v>
                </c:pt>
              </c:strCache>
            </c:strRef>
          </c:cat>
          <c:val>
            <c:numRef>
              <c:f>'[3]Raw Sheet'!$E$271:$E$280</c:f>
              <c:numCache>
                <c:formatCode>General</c:formatCode>
                <c:ptCount val="10"/>
                <c:pt idx="0">
                  <c:v>18055</c:v>
                </c:pt>
                <c:pt idx="1">
                  <c:v>17011</c:v>
                </c:pt>
                <c:pt idx="2">
                  <c:v>15857</c:v>
                </c:pt>
                <c:pt idx="3">
                  <c:v>12668</c:v>
                </c:pt>
                <c:pt idx="4">
                  <c:v>11572</c:v>
                </c:pt>
                <c:pt idx="5">
                  <c:v>11312</c:v>
                </c:pt>
                <c:pt idx="6">
                  <c:v>10967</c:v>
                </c:pt>
                <c:pt idx="7">
                  <c:v>5862</c:v>
                </c:pt>
                <c:pt idx="8">
                  <c:v>4390</c:v>
                </c:pt>
                <c:pt idx="9">
                  <c:v>3780</c:v>
                </c:pt>
              </c:numCache>
            </c:numRef>
          </c:val>
        </c:ser>
        <c:overlap val="100"/>
        <c:axId val="143469568"/>
        <c:axId val="143479552"/>
      </c:barChart>
      <c:catAx>
        <c:axId val="143469568"/>
        <c:scaling>
          <c:orientation val="minMax"/>
        </c:scaling>
        <c:axPos val="b"/>
        <c:tickLblPos val="nextTo"/>
        <c:crossAx val="143479552"/>
        <c:crosses val="autoZero"/>
        <c:auto val="1"/>
        <c:lblAlgn val="ctr"/>
        <c:lblOffset val="100"/>
      </c:catAx>
      <c:valAx>
        <c:axId val="143479552"/>
        <c:scaling>
          <c:orientation val="minMax"/>
        </c:scaling>
        <c:axPos val="l"/>
        <c:numFmt formatCode="General" sourceLinked="1"/>
        <c:tickLblPos val="nextTo"/>
        <c:crossAx val="143469568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100218722659671"/>
          <c:y val="6.9919072615923034E-2"/>
          <c:w val="0.66259492563429634"/>
          <c:h val="0.6354611402741327"/>
        </c:manualLayout>
      </c:layout>
      <c:lineChart>
        <c:grouping val="stacked"/>
        <c:ser>
          <c:idx val="0"/>
          <c:order val="0"/>
          <c:cat>
            <c:strRef>
              <c:f>'[3]Raw Sheet'!$P$247:$P$256</c:f>
              <c:strCache>
                <c:ptCount val="10"/>
                <c:pt idx="0">
                  <c:v>China</c:v>
                </c:pt>
                <c:pt idx="1">
                  <c:v>India</c:v>
                </c:pt>
                <c:pt idx="2">
                  <c:v>United States</c:v>
                </c:pt>
                <c:pt idx="3">
                  <c:v>Indonesia</c:v>
                </c:pt>
                <c:pt idx="4">
                  <c:v>Pakistan</c:v>
                </c:pt>
                <c:pt idx="5">
                  <c:v>Nigeria</c:v>
                </c:pt>
                <c:pt idx="6">
                  <c:v>Brazil</c:v>
                </c:pt>
                <c:pt idx="7">
                  <c:v>Bangladesh</c:v>
                </c:pt>
                <c:pt idx="8">
                  <c:v>Russia</c:v>
                </c:pt>
                <c:pt idx="9">
                  <c:v>Mexico</c:v>
                </c:pt>
              </c:strCache>
            </c:strRef>
          </c:cat>
          <c:val>
            <c:numRef>
              <c:f>'[3]Raw Sheet'!$Q$247:$Q$256</c:f>
              <c:numCache>
                <c:formatCode>General</c:formatCode>
                <c:ptCount val="10"/>
                <c:pt idx="0">
                  <c:v>1.0636151047457743E-2</c:v>
                </c:pt>
                <c:pt idx="1">
                  <c:v>1.8103349152284398E-2</c:v>
                </c:pt>
                <c:pt idx="2">
                  <c:v>1.0126805074097023E-2</c:v>
                </c:pt>
                <c:pt idx="3">
                  <c:v>1.6904293221459588E-2</c:v>
                </c:pt>
                <c:pt idx="4">
                  <c:v>2.6906263769921113E-2</c:v>
                </c:pt>
                <c:pt idx="5">
                  <c:v>2.6683337003317043E-2</c:v>
                </c:pt>
                <c:pt idx="6">
                  <c:v>1.5579761626140609E-2</c:v>
                </c:pt>
                <c:pt idx="7">
                  <c:v>1.8045606662919544E-2</c:v>
                </c:pt>
                <c:pt idx="8">
                  <c:v>2.0502717133898951E-3</c:v>
                </c:pt>
                <c:pt idx="9">
                  <c:v>1.8052477768921271E-2</c:v>
                </c:pt>
              </c:numCache>
            </c:numRef>
          </c:val>
        </c:ser>
        <c:marker val="1"/>
        <c:axId val="143499264"/>
        <c:axId val="143500800"/>
      </c:lineChart>
      <c:catAx>
        <c:axId val="143499264"/>
        <c:scaling>
          <c:orientation val="minMax"/>
        </c:scaling>
        <c:axPos val="b"/>
        <c:tickLblPos val="nextTo"/>
        <c:crossAx val="143500800"/>
        <c:crosses val="autoZero"/>
        <c:auto val="1"/>
        <c:lblAlgn val="ctr"/>
        <c:lblOffset val="100"/>
      </c:catAx>
      <c:valAx>
        <c:axId val="143500800"/>
        <c:scaling>
          <c:orientation val="minMax"/>
        </c:scaling>
        <c:axPos val="l"/>
        <c:numFmt formatCode="General" sourceLinked="1"/>
        <c:tickLblPos val="nextTo"/>
        <c:crossAx val="143499264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dPt>
            <c:idx val="1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5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cat>
            <c:strRef>
              <c:f>'[3]Raw Sheet'!$P$265:$P$274</c:f>
              <c:strCache>
                <c:ptCount val="10"/>
                <c:pt idx="0">
                  <c:v>China</c:v>
                </c:pt>
                <c:pt idx="1">
                  <c:v>India</c:v>
                </c:pt>
                <c:pt idx="2">
                  <c:v>United States</c:v>
                </c:pt>
                <c:pt idx="3">
                  <c:v>Indonesia</c:v>
                </c:pt>
                <c:pt idx="4">
                  <c:v>Pakistan</c:v>
                </c:pt>
                <c:pt idx="5">
                  <c:v>Nigeria</c:v>
                </c:pt>
                <c:pt idx="6">
                  <c:v>Brazil</c:v>
                </c:pt>
                <c:pt idx="7">
                  <c:v>Bangladesh</c:v>
                </c:pt>
                <c:pt idx="8">
                  <c:v>Russia</c:v>
                </c:pt>
                <c:pt idx="9">
                  <c:v>Mexico</c:v>
                </c:pt>
              </c:strCache>
            </c:strRef>
          </c:cat>
          <c:val>
            <c:numRef>
              <c:f>'[3]Raw Sheet'!$Q$265:$Q$274</c:f>
              <c:numCache>
                <c:formatCode>General</c:formatCode>
                <c:ptCount val="10"/>
                <c:pt idx="0">
                  <c:v>1551828934.968544</c:v>
                </c:pt>
                <c:pt idx="1">
                  <c:v>1635904139.6830502</c:v>
                </c:pt>
                <c:pt idx="2">
                  <c:v>366687531.82597941</c:v>
                </c:pt>
                <c:pt idx="3">
                  <c:v>315039029.47899228</c:v>
                </c:pt>
                <c:pt idx="4">
                  <c:v>291632561.3944732</c:v>
                </c:pt>
                <c:pt idx="5">
                  <c:v>269789756.01274896</c:v>
                </c:pt>
                <c:pt idx="6">
                  <c:v>243659617.589261</c:v>
                </c:pt>
                <c:pt idx="7">
                  <c:v>197518173.29673555</c:v>
                </c:pt>
                <c:pt idx="8">
                  <c:v>147104029.86747959</c:v>
                </c:pt>
                <c:pt idx="9">
                  <c:v>147124688.80200568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133350</xdr:colOff>
      <xdr:row>9</xdr:row>
      <xdr:rowOff>114300</xdr:rowOff>
    </xdr:from>
    <xdr:to>
      <xdr:col>36</xdr:col>
      <xdr:colOff>140495</xdr:colOff>
      <xdr:row>28</xdr:row>
      <xdr:rowOff>173831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6</xdr:row>
      <xdr:rowOff>28575</xdr:rowOff>
    </xdr:from>
    <xdr:to>
      <xdr:col>16</xdr:col>
      <xdr:colOff>553508</xdr:colOff>
      <xdr:row>20</xdr:row>
      <xdr:rowOff>102658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17</xdr:col>
      <xdr:colOff>248708</xdr:colOff>
      <xdr:row>42</xdr:row>
      <xdr:rowOff>74083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2</xdr:row>
      <xdr:rowOff>142875</xdr:rowOff>
    </xdr:from>
    <xdr:to>
      <xdr:col>12</xdr:col>
      <xdr:colOff>333375</xdr:colOff>
      <xdr:row>17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238125</xdr:colOff>
      <xdr:row>20</xdr:row>
      <xdr:rowOff>19050</xdr:rowOff>
    </xdr:from>
    <xdr:to>
      <xdr:col>12</xdr:col>
      <xdr:colOff>607919</xdr:colOff>
      <xdr:row>34</xdr:row>
      <xdr:rowOff>97491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orld_population_DataExcel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orldpopnew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orld_population_Raw_Data"/>
      <sheetName val="world POP new"/>
    </sheetNames>
    <sheetDataSet>
      <sheetData sheetId="0" refreshError="1">
        <row r="1">
          <cell r="B1" t="str">
            <v>Rank</v>
          </cell>
          <cell r="D1" t="str">
            <v>Country/Territory</v>
          </cell>
          <cell r="F1" t="str">
            <v>Continent</v>
          </cell>
          <cell r="G1" t="str">
            <v>2022 Population</v>
          </cell>
          <cell r="H1" t="str">
            <v>2020 Population</v>
          </cell>
          <cell r="I1" t="str">
            <v>2015 Population</v>
          </cell>
          <cell r="J1" t="str">
            <v>2010 Population</v>
          </cell>
          <cell r="K1" t="str">
            <v>2000 Population</v>
          </cell>
          <cell r="L1" t="str">
            <v>1990 Population</v>
          </cell>
          <cell r="M1" t="str">
            <v>1980 Population</v>
          </cell>
          <cell r="N1" t="str">
            <v>1970 Population</v>
          </cell>
          <cell r="Q1" t="str">
            <v>Growth Rate</v>
          </cell>
        </row>
        <row r="2">
          <cell r="B2">
            <v>1</v>
          </cell>
          <cell r="D2" t="str">
            <v>China</v>
          </cell>
          <cell r="F2" t="str">
            <v>Asia</v>
          </cell>
          <cell r="G2">
            <v>1425887337</v>
          </cell>
          <cell r="H2">
            <v>1424929781</v>
          </cell>
          <cell r="I2">
            <v>1393715448</v>
          </cell>
          <cell r="J2">
            <v>1348191368</v>
          </cell>
          <cell r="K2">
            <v>1264099069</v>
          </cell>
          <cell r="L2">
            <v>1153704252</v>
          </cell>
          <cell r="M2">
            <v>982372466</v>
          </cell>
          <cell r="N2">
            <v>822534450</v>
          </cell>
        </row>
        <row r="3">
          <cell r="B3">
            <v>2</v>
          </cell>
          <cell r="D3" t="str">
            <v>India</v>
          </cell>
          <cell r="F3" t="str">
            <v>Asia</v>
          </cell>
          <cell r="G3">
            <v>1417173173</v>
          </cell>
          <cell r="H3">
            <v>1396387127</v>
          </cell>
          <cell r="I3">
            <v>1322866505</v>
          </cell>
          <cell r="J3">
            <v>1240613620</v>
          </cell>
          <cell r="K3">
            <v>1059633675</v>
          </cell>
          <cell r="L3">
            <v>870452165</v>
          </cell>
          <cell r="M3">
            <v>696828385</v>
          </cell>
          <cell r="N3">
            <v>557501301</v>
          </cell>
        </row>
        <row r="4">
          <cell r="B4">
            <v>3</v>
          </cell>
          <cell r="D4" t="str">
            <v>United States</v>
          </cell>
          <cell r="F4" t="str">
            <v>North America</v>
          </cell>
          <cell r="G4">
            <v>338289857</v>
          </cell>
          <cell r="H4">
            <v>335942003</v>
          </cell>
          <cell r="I4">
            <v>324607776</v>
          </cell>
          <cell r="J4">
            <v>311182845</v>
          </cell>
          <cell r="K4">
            <v>282398554</v>
          </cell>
          <cell r="L4">
            <v>248083732</v>
          </cell>
          <cell r="M4">
            <v>223140018</v>
          </cell>
          <cell r="N4">
            <v>200328340</v>
          </cell>
        </row>
        <row r="5">
          <cell r="B5">
            <v>4</v>
          </cell>
          <cell r="D5" t="str">
            <v>Indonesia</v>
          </cell>
          <cell r="F5" t="str">
            <v>Asia</v>
          </cell>
          <cell r="G5">
            <v>275501339</v>
          </cell>
          <cell r="H5">
            <v>271857970</v>
          </cell>
          <cell r="I5">
            <v>259091970</v>
          </cell>
          <cell r="J5">
            <v>244016173</v>
          </cell>
          <cell r="K5">
            <v>214072421</v>
          </cell>
          <cell r="L5">
            <v>182159874</v>
          </cell>
          <cell r="M5">
            <v>148177096</v>
          </cell>
          <cell r="N5">
            <v>115228394</v>
          </cell>
        </row>
        <row r="6">
          <cell r="B6">
            <v>5</v>
          </cell>
          <cell r="D6" t="str">
            <v>Pakistan</v>
          </cell>
          <cell r="F6" t="str">
            <v>Asia</v>
          </cell>
          <cell r="G6">
            <v>235824862</v>
          </cell>
          <cell r="H6">
            <v>227196741</v>
          </cell>
          <cell r="I6">
            <v>210969298</v>
          </cell>
          <cell r="J6">
            <v>194454498</v>
          </cell>
          <cell r="K6">
            <v>154369924</v>
          </cell>
          <cell r="L6">
            <v>115414069</v>
          </cell>
          <cell r="M6">
            <v>80624057</v>
          </cell>
          <cell r="N6">
            <v>59290872</v>
          </cell>
        </row>
        <row r="7">
          <cell r="B7">
            <v>6</v>
          </cell>
          <cell r="D7" t="str">
            <v>Nigeria</v>
          </cell>
          <cell r="F7" t="str">
            <v>Africa</v>
          </cell>
          <cell r="G7">
            <v>218541212</v>
          </cell>
          <cell r="H7">
            <v>208327405</v>
          </cell>
          <cell r="I7">
            <v>183995785</v>
          </cell>
          <cell r="J7">
            <v>160952853</v>
          </cell>
          <cell r="K7">
            <v>122851984</v>
          </cell>
          <cell r="L7">
            <v>95214257</v>
          </cell>
          <cell r="M7">
            <v>72951439</v>
          </cell>
          <cell r="N7">
            <v>55569264</v>
          </cell>
        </row>
        <row r="8">
          <cell r="B8">
            <v>7</v>
          </cell>
          <cell r="D8" t="str">
            <v>Brazil</v>
          </cell>
          <cell r="F8" t="str">
            <v>South America</v>
          </cell>
          <cell r="G8">
            <v>215313498</v>
          </cell>
          <cell r="H8">
            <v>213196304</v>
          </cell>
          <cell r="I8">
            <v>205188205</v>
          </cell>
          <cell r="J8">
            <v>196353492</v>
          </cell>
          <cell r="K8">
            <v>175873720</v>
          </cell>
          <cell r="L8">
            <v>150706446</v>
          </cell>
          <cell r="M8">
            <v>122288383</v>
          </cell>
          <cell r="N8">
            <v>96369875</v>
          </cell>
        </row>
        <row r="9">
          <cell r="B9">
            <v>8</v>
          </cell>
          <cell r="D9" t="str">
            <v>Bangladesh</v>
          </cell>
          <cell r="F9" t="str">
            <v>Asia</v>
          </cell>
          <cell r="G9">
            <v>171186372</v>
          </cell>
          <cell r="H9">
            <v>167420951</v>
          </cell>
          <cell r="I9">
            <v>157830000</v>
          </cell>
          <cell r="J9">
            <v>148391139</v>
          </cell>
          <cell r="K9">
            <v>129193327</v>
          </cell>
          <cell r="L9">
            <v>107147651</v>
          </cell>
          <cell r="M9">
            <v>83929765</v>
          </cell>
          <cell r="N9">
            <v>67541860</v>
          </cell>
        </row>
        <row r="10">
          <cell r="B10">
            <v>9</v>
          </cell>
          <cell r="D10" t="str">
            <v>Russia</v>
          </cell>
          <cell r="F10" t="str">
            <v>Europe</v>
          </cell>
          <cell r="G10">
            <v>144713314</v>
          </cell>
          <cell r="H10">
            <v>145617329</v>
          </cell>
          <cell r="I10">
            <v>144668389</v>
          </cell>
          <cell r="J10">
            <v>143242599</v>
          </cell>
          <cell r="K10">
            <v>146844839</v>
          </cell>
          <cell r="L10">
            <v>148005704</v>
          </cell>
          <cell r="M10">
            <v>138257420</v>
          </cell>
          <cell r="N10">
            <v>130093010</v>
          </cell>
        </row>
        <row r="11">
          <cell r="B11">
            <v>10</v>
          </cell>
          <cell r="D11" t="str">
            <v>Mexico</v>
          </cell>
          <cell r="F11" t="str">
            <v>North America</v>
          </cell>
          <cell r="G11">
            <v>127504125</v>
          </cell>
          <cell r="H11">
            <v>125998302</v>
          </cell>
          <cell r="I11">
            <v>120149897</v>
          </cell>
          <cell r="J11">
            <v>112532401</v>
          </cell>
          <cell r="K11">
            <v>97873442</v>
          </cell>
          <cell r="L11">
            <v>81720428</v>
          </cell>
          <cell r="M11">
            <v>67705186</v>
          </cell>
          <cell r="N11">
            <v>50289306</v>
          </cell>
        </row>
        <row r="12">
          <cell r="B12">
            <v>11</v>
          </cell>
          <cell r="D12" t="str">
            <v>Japan</v>
          </cell>
          <cell r="F12" t="str">
            <v>Asia</v>
          </cell>
          <cell r="G12">
            <v>123951692</v>
          </cell>
          <cell r="H12">
            <v>125244761</v>
          </cell>
          <cell r="I12">
            <v>127250933</v>
          </cell>
          <cell r="J12">
            <v>128105431</v>
          </cell>
          <cell r="K12">
            <v>126803861</v>
          </cell>
          <cell r="L12">
            <v>123686321</v>
          </cell>
          <cell r="M12">
            <v>117624196</v>
          </cell>
          <cell r="N12">
            <v>105416839</v>
          </cell>
        </row>
        <row r="13">
          <cell r="B13">
            <v>12</v>
          </cell>
          <cell r="D13" t="str">
            <v>Ethiopia</v>
          </cell>
          <cell r="F13" t="str">
            <v>Africa</v>
          </cell>
          <cell r="G13">
            <v>123379924</v>
          </cell>
          <cell r="H13">
            <v>117190911</v>
          </cell>
          <cell r="I13">
            <v>102471895</v>
          </cell>
          <cell r="J13">
            <v>89237791</v>
          </cell>
          <cell r="K13">
            <v>67031867</v>
          </cell>
          <cell r="L13">
            <v>47878073</v>
          </cell>
          <cell r="M13">
            <v>34945469</v>
          </cell>
          <cell r="N13">
            <v>28308246</v>
          </cell>
        </row>
        <row r="14">
          <cell r="B14">
            <v>13</v>
          </cell>
          <cell r="D14" t="str">
            <v>Philippines</v>
          </cell>
          <cell r="F14" t="str">
            <v>Asia</v>
          </cell>
          <cell r="G14">
            <v>115559009</v>
          </cell>
          <cell r="H14">
            <v>112190977</v>
          </cell>
          <cell r="I14">
            <v>103031365</v>
          </cell>
          <cell r="J14">
            <v>94636700</v>
          </cell>
          <cell r="K14">
            <v>77958223</v>
          </cell>
          <cell r="L14">
            <v>61558898</v>
          </cell>
          <cell r="M14">
            <v>48419546</v>
          </cell>
          <cell r="N14">
            <v>37435586</v>
          </cell>
        </row>
        <row r="15">
          <cell r="B15">
            <v>14</v>
          </cell>
          <cell r="D15" t="str">
            <v>Egypt</v>
          </cell>
          <cell r="F15" t="str">
            <v>Africa</v>
          </cell>
          <cell r="G15">
            <v>110990103</v>
          </cell>
          <cell r="H15">
            <v>107465134</v>
          </cell>
          <cell r="I15">
            <v>97723799</v>
          </cell>
          <cell r="J15">
            <v>87252413</v>
          </cell>
          <cell r="K15">
            <v>71371371</v>
          </cell>
          <cell r="L15">
            <v>57214630</v>
          </cell>
          <cell r="M15">
            <v>43748556</v>
          </cell>
          <cell r="N15">
            <v>34781986</v>
          </cell>
        </row>
        <row r="16">
          <cell r="B16">
            <v>15</v>
          </cell>
          <cell r="D16" t="str">
            <v>DR Congo</v>
          </cell>
          <cell r="F16" t="str">
            <v>Africa</v>
          </cell>
          <cell r="G16">
            <v>99010212</v>
          </cell>
          <cell r="H16">
            <v>92853164</v>
          </cell>
          <cell r="I16">
            <v>78656904</v>
          </cell>
          <cell r="J16">
            <v>66391257</v>
          </cell>
          <cell r="K16">
            <v>48616317</v>
          </cell>
          <cell r="L16">
            <v>35987541</v>
          </cell>
          <cell r="M16">
            <v>26708686</v>
          </cell>
          <cell r="N16">
            <v>20151733</v>
          </cell>
        </row>
        <row r="17">
          <cell r="B17">
            <v>16</v>
          </cell>
          <cell r="D17" t="str">
            <v>Vietnam</v>
          </cell>
          <cell r="F17" t="str">
            <v>Asia</v>
          </cell>
          <cell r="G17">
            <v>98186856</v>
          </cell>
          <cell r="H17">
            <v>96648685</v>
          </cell>
          <cell r="I17">
            <v>92191398</v>
          </cell>
          <cell r="J17">
            <v>87411012</v>
          </cell>
          <cell r="K17">
            <v>79001142</v>
          </cell>
          <cell r="L17">
            <v>66912613</v>
          </cell>
          <cell r="M17">
            <v>52968270</v>
          </cell>
          <cell r="N17">
            <v>41928849</v>
          </cell>
        </row>
        <row r="18">
          <cell r="B18">
            <v>17</v>
          </cell>
          <cell r="D18" t="str">
            <v>Iran</v>
          </cell>
          <cell r="F18" t="str">
            <v>Asia</v>
          </cell>
          <cell r="G18">
            <v>88550570</v>
          </cell>
          <cell r="H18">
            <v>87290193</v>
          </cell>
          <cell r="I18">
            <v>81790841</v>
          </cell>
          <cell r="J18">
            <v>75373855</v>
          </cell>
          <cell r="K18">
            <v>65544383</v>
          </cell>
          <cell r="L18">
            <v>55793629</v>
          </cell>
          <cell r="M18">
            <v>38520664</v>
          </cell>
          <cell r="N18">
            <v>28449705</v>
          </cell>
        </row>
        <row r="19">
          <cell r="B19">
            <v>18</v>
          </cell>
          <cell r="D19" t="str">
            <v>Turkey</v>
          </cell>
          <cell r="F19" t="str">
            <v>Asia</v>
          </cell>
          <cell r="G19">
            <v>85341241</v>
          </cell>
          <cell r="H19">
            <v>84135428</v>
          </cell>
          <cell r="I19">
            <v>79646178</v>
          </cell>
          <cell r="J19">
            <v>73195345</v>
          </cell>
          <cell r="K19">
            <v>64113547</v>
          </cell>
          <cell r="L19">
            <v>54324142</v>
          </cell>
          <cell r="M19">
            <v>44089069</v>
          </cell>
          <cell r="N19">
            <v>35540990</v>
          </cell>
        </row>
        <row r="20">
          <cell r="B20">
            <v>19</v>
          </cell>
          <cell r="D20" t="str">
            <v>Germany</v>
          </cell>
          <cell r="F20" t="str">
            <v>Europe</v>
          </cell>
          <cell r="G20">
            <v>83369843</v>
          </cell>
          <cell r="H20">
            <v>83328988</v>
          </cell>
          <cell r="I20">
            <v>82073226</v>
          </cell>
          <cell r="J20">
            <v>81325090</v>
          </cell>
          <cell r="K20">
            <v>81551677</v>
          </cell>
          <cell r="L20">
            <v>79370196</v>
          </cell>
          <cell r="M20">
            <v>77786703</v>
          </cell>
          <cell r="N20">
            <v>78294583</v>
          </cell>
        </row>
        <row r="21">
          <cell r="B21">
            <v>20</v>
          </cell>
          <cell r="D21" t="str">
            <v>Thailand</v>
          </cell>
          <cell r="F21" t="str">
            <v>Asia</v>
          </cell>
          <cell r="G21">
            <v>71697030</v>
          </cell>
          <cell r="H21">
            <v>71475664</v>
          </cell>
          <cell r="I21">
            <v>70294397</v>
          </cell>
          <cell r="J21">
            <v>68270489</v>
          </cell>
          <cell r="K21">
            <v>63066603</v>
          </cell>
          <cell r="L21">
            <v>55228410</v>
          </cell>
          <cell r="M21">
            <v>45737753</v>
          </cell>
          <cell r="N21">
            <v>35791728</v>
          </cell>
        </row>
        <row r="22">
          <cell r="B22">
            <v>21</v>
          </cell>
          <cell r="D22" t="str">
            <v>United Kingdom</v>
          </cell>
          <cell r="F22" t="str">
            <v>Europe</v>
          </cell>
          <cell r="G22">
            <v>67508936</v>
          </cell>
          <cell r="H22">
            <v>67059474</v>
          </cell>
          <cell r="I22">
            <v>65224364</v>
          </cell>
          <cell r="J22">
            <v>62760039</v>
          </cell>
          <cell r="K22">
            <v>58850043</v>
          </cell>
          <cell r="L22">
            <v>57210442</v>
          </cell>
          <cell r="M22">
            <v>56326328</v>
          </cell>
          <cell r="N22">
            <v>55650166</v>
          </cell>
        </row>
        <row r="23">
          <cell r="B23">
            <v>22</v>
          </cell>
          <cell r="D23" t="str">
            <v>Tanzania</v>
          </cell>
          <cell r="F23" t="str">
            <v>Africa</v>
          </cell>
          <cell r="G23">
            <v>65497748</v>
          </cell>
          <cell r="H23">
            <v>61704518</v>
          </cell>
          <cell r="I23">
            <v>52542823</v>
          </cell>
          <cell r="J23">
            <v>45110527</v>
          </cell>
          <cell r="K23">
            <v>34463704</v>
          </cell>
          <cell r="L23">
            <v>26206012</v>
          </cell>
          <cell r="M23">
            <v>19297659</v>
          </cell>
          <cell r="N23">
            <v>13618192</v>
          </cell>
        </row>
        <row r="24">
          <cell r="B24">
            <v>23</v>
          </cell>
          <cell r="D24" t="str">
            <v>France</v>
          </cell>
          <cell r="F24" t="str">
            <v>Europe</v>
          </cell>
          <cell r="G24">
            <v>64626628</v>
          </cell>
          <cell r="H24">
            <v>64480053</v>
          </cell>
          <cell r="I24">
            <v>63809769</v>
          </cell>
          <cell r="J24">
            <v>62444567</v>
          </cell>
          <cell r="K24">
            <v>58665453</v>
          </cell>
          <cell r="L24">
            <v>56412897</v>
          </cell>
          <cell r="M24">
            <v>53713830</v>
          </cell>
          <cell r="N24">
            <v>50523586</v>
          </cell>
        </row>
        <row r="25">
          <cell r="B25">
            <v>24</v>
          </cell>
          <cell r="D25" t="str">
            <v>South Africa</v>
          </cell>
          <cell r="F25" t="str">
            <v>Africa</v>
          </cell>
          <cell r="G25">
            <v>59893885</v>
          </cell>
          <cell r="H25">
            <v>58801927</v>
          </cell>
          <cell r="I25">
            <v>55876504</v>
          </cell>
          <cell r="J25">
            <v>51784921</v>
          </cell>
          <cell r="K25">
            <v>46813266</v>
          </cell>
          <cell r="L25">
            <v>39877570</v>
          </cell>
          <cell r="M25">
            <v>29463549</v>
          </cell>
          <cell r="N25">
            <v>22368306</v>
          </cell>
        </row>
        <row r="26">
          <cell r="B26">
            <v>25</v>
          </cell>
          <cell r="D26" t="str">
            <v>Italy</v>
          </cell>
          <cell r="F26" t="str">
            <v>Europe</v>
          </cell>
          <cell r="G26">
            <v>59037474</v>
          </cell>
          <cell r="H26">
            <v>59500579</v>
          </cell>
          <cell r="I26">
            <v>60232906</v>
          </cell>
          <cell r="J26">
            <v>59822450</v>
          </cell>
          <cell r="K26">
            <v>56966397</v>
          </cell>
          <cell r="L26">
            <v>56756561</v>
          </cell>
          <cell r="M26">
            <v>56329482</v>
          </cell>
          <cell r="N26">
            <v>53324036</v>
          </cell>
        </row>
        <row r="27">
          <cell r="B27">
            <v>26</v>
          </cell>
          <cell r="D27" t="str">
            <v>Myanmar</v>
          </cell>
          <cell r="F27" t="str">
            <v>Asia</v>
          </cell>
          <cell r="G27">
            <v>54179306</v>
          </cell>
          <cell r="H27">
            <v>53423198</v>
          </cell>
          <cell r="I27">
            <v>51483949</v>
          </cell>
          <cell r="J27">
            <v>49390988</v>
          </cell>
          <cell r="K27">
            <v>45538332</v>
          </cell>
          <cell r="L27">
            <v>40099553</v>
          </cell>
          <cell r="M27">
            <v>33465781</v>
          </cell>
          <cell r="N27">
            <v>27284112</v>
          </cell>
        </row>
        <row r="28">
          <cell r="B28">
            <v>27</v>
          </cell>
          <cell r="D28" t="str">
            <v>Kenya</v>
          </cell>
          <cell r="F28" t="str">
            <v>Africa</v>
          </cell>
          <cell r="G28">
            <v>54027487</v>
          </cell>
          <cell r="H28">
            <v>51985780</v>
          </cell>
          <cell r="I28">
            <v>46851488</v>
          </cell>
          <cell r="J28">
            <v>41517895</v>
          </cell>
          <cell r="K28">
            <v>30851606</v>
          </cell>
          <cell r="L28">
            <v>23162269</v>
          </cell>
          <cell r="M28">
            <v>16187124</v>
          </cell>
          <cell r="N28">
            <v>11473087</v>
          </cell>
        </row>
        <row r="29">
          <cell r="B29">
            <v>28</v>
          </cell>
          <cell r="D29" t="str">
            <v>Colombia</v>
          </cell>
          <cell r="F29" t="str">
            <v>South America</v>
          </cell>
          <cell r="G29">
            <v>51874024</v>
          </cell>
          <cell r="H29">
            <v>50930662</v>
          </cell>
          <cell r="I29">
            <v>47119728</v>
          </cell>
          <cell r="J29">
            <v>44816108</v>
          </cell>
          <cell r="K29">
            <v>39215135</v>
          </cell>
          <cell r="L29">
            <v>32601393</v>
          </cell>
          <cell r="M29">
            <v>26176195</v>
          </cell>
          <cell r="N29">
            <v>20905254</v>
          </cell>
        </row>
        <row r="30">
          <cell r="B30">
            <v>29</v>
          </cell>
          <cell r="D30" t="str">
            <v>South Korea</v>
          </cell>
          <cell r="F30" t="str">
            <v>Asia</v>
          </cell>
          <cell r="G30">
            <v>51815810</v>
          </cell>
          <cell r="H30">
            <v>51844690</v>
          </cell>
          <cell r="I30">
            <v>50994401</v>
          </cell>
          <cell r="J30">
            <v>48813042</v>
          </cell>
          <cell r="K30">
            <v>46788591</v>
          </cell>
          <cell r="L30">
            <v>44120039</v>
          </cell>
          <cell r="M30">
            <v>38170501</v>
          </cell>
          <cell r="N30">
            <v>32601143</v>
          </cell>
        </row>
        <row r="31">
          <cell r="B31">
            <v>30</v>
          </cell>
          <cell r="D31" t="str">
            <v>Spain</v>
          </cell>
          <cell r="F31" t="str">
            <v>Europe</v>
          </cell>
          <cell r="G31">
            <v>47558630</v>
          </cell>
          <cell r="H31">
            <v>47363807</v>
          </cell>
          <cell r="I31">
            <v>46431342</v>
          </cell>
          <cell r="J31">
            <v>46572772</v>
          </cell>
          <cell r="K31">
            <v>40741651</v>
          </cell>
          <cell r="L31">
            <v>38889889</v>
          </cell>
          <cell r="M31">
            <v>37491666</v>
          </cell>
          <cell r="N31">
            <v>33792617</v>
          </cell>
        </row>
        <row r="32">
          <cell r="B32">
            <v>31</v>
          </cell>
          <cell r="D32" t="str">
            <v>Uganda</v>
          </cell>
          <cell r="F32" t="str">
            <v>Africa</v>
          </cell>
          <cell r="G32">
            <v>47249585</v>
          </cell>
          <cell r="H32">
            <v>44404611</v>
          </cell>
          <cell r="I32">
            <v>37477356</v>
          </cell>
          <cell r="J32">
            <v>32341728</v>
          </cell>
          <cell r="K32">
            <v>24020697</v>
          </cell>
          <cell r="L32">
            <v>17586630</v>
          </cell>
          <cell r="M32">
            <v>13284026</v>
          </cell>
          <cell r="N32">
            <v>10317212</v>
          </cell>
        </row>
        <row r="33">
          <cell r="B33">
            <v>32</v>
          </cell>
          <cell r="D33" t="str">
            <v>Sudan</v>
          </cell>
          <cell r="F33" t="str">
            <v>Africa</v>
          </cell>
          <cell r="G33">
            <v>46874204</v>
          </cell>
          <cell r="H33">
            <v>44440486</v>
          </cell>
          <cell r="I33">
            <v>38171178</v>
          </cell>
          <cell r="J33">
            <v>33739933</v>
          </cell>
          <cell r="K33">
            <v>26298773</v>
          </cell>
          <cell r="L33">
            <v>21090886</v>
          </cell>
          <cell r="M33">
            <v>16673586</v>
          </cell>
          <cell r="N33">
            <v>11305206</v>
          </cell>
        </row>
        <row r="34">
          <cell r="B34">
            <v>33</v>
          </cell>
          <cell r="D34" t="str">
            <v>Argentina</v>
          </cell>
          <cell r="F34" t="str">
            <v>South America</v>
          </cell>
          <cell r="G34">
            <v>45510318</v>
          </cell>
          <cell r="H34">
            <v>45036032</v>
          </cell>
          <cell r="I34">
            <v>43257065</v>
          </cell>
          <cell r="J34">
            <v>41100123</v>
          </cell>
          <cell r="K34">
            <v>37070774</v>
          </cell>
          <cell r="L34">
            <v>32637657</v>
          </cell>
          <cell r="M34">
            <v>28024803</v>
          </cell>
          <cell r="N34">
            <v>23842803</v>
          </cell>
        </row>
        <row r="35">
          <cell r="B35">
            <v>34</v>
          </cell>
          <cell r="D35" t="str">
            <v>Algeria</v>
          </cell>
          <cell r="F35" t="str">
            <v>Africa</v>
          </cell>
          <cell r="G35">
            <v>44903225</v>
          </cell>
          <cell r="H35">
            <v>43451666</v>
          </cell>
          <cell r="I35">
            <v>39543154</v>
          </cell>
          <cell r="J35">
            <v>35856344</v>
          </cell>
          <cell r="K35">
            <v>30774621</v>
          </cell>
          <cell r="L35">
            <v>25518074</v>
          </cell>
          <cell r="M35">
            <v>18739378</v>
          </cell>
          <cell r="N35">
            <v>13795915</v>
          </cell>
        </row>
        <row r="36">
          <cell r="B36">
            <v>35</v>
          </cell>
          <cell r="D36" t="str">
            <v>Iraq</v>
          </cell>
          <cell r="F36" t="str">
            <v>Asia</v>
          </cell>
          <cell r="G36">
            <v>44496122</v>
          </cell>
          <cell r="H36">
            <v>42556984</v>
          </cell>
          <cell r="I36">
            <v>37757813</v>
          </cell>
          <cell r="J36">
            <v>31264875</v>
          </cell>
          <cell r="K36">
            <v>24628858</v>
          </cell>
          <cell r="L36">
            <v>17658381</v>
          </cell>
          <cell r="M36">
            <v>13653369</v>
          </cell>
          <cell r="N36">
            <v>9811347</v>
          </cell>
        </row>
        <row r="37">
          <cell r="B37">
            <v>36</v>
          </cell>
          <cell r="D37" t="str">
            <v>Afghanistan</v>
          </cell>
          <cell r="F37" t="str">
            <v>Asia</v>
          </cell>
          <cell r="G37">
            <v>41128771</v>
          </cell>
          <cell r="H37">
            <v>38972230</v>
          </cell>
          <cell r="I37">
            <v>33753499</v>
          </cell>
          <cell r="J37">
            <v>28189672</v>
          </cell>
          <cell r="K37">
            <v>19542982</v>
          </cell>
          <cell r="L37">
            <v>10694796</v>
          </cell>
          <cell r="M37">
            <v>12486631</v>
          </cell>
          <cell r="N37">
            <v>10752971</v>
          </cell>
        </row>
        <row r="38">
          <cell r="B38">
            <v>37</v>
          </cell>
          <cell r="D38" t="str">
            <v>Poland</v>
          </cell>
          <cell r="F38" t="str">
            <v>Europe</v>
          </cell>
          <cell r="G38">
            <v>39857145</v>
          </cell>
          <cell r="H38">
            <v>38428366</v>
          </cell>
          <cell r="I38">
            <v>38553146</v>
          </cell>
          <cell r="J38">
            <v>38597353</v>
          </cell>
          <cell r="K38">
            <v>38504431</v>
          </cell>
          <cell r="L38">
            <v>38064255</v>
          </cell>
          <cell r="M38">
            <v>35521429</v>
          </cell>
          <cell r="N38">
            <v>32482943</v>
          </cell>
        </row>
        <row r="39">
          <cell r="B39">
            <v>38</v>
          </cell>
          <cell r="D39" t="str">
            <v>Ukraine</v>
          </cell>
          <cell r="F39" t="str">
            <v>Europe</v>
          </cell>
          <cell r="G39">
            <v>39701739</v>
          </cell>
          <cell r="H39">
            <v>43909666</v>
          </cell>
          <cell r="I39">
            <v>44982564</v>
          </cell>
          <cell r="J39">
            <v>45683020</v>
          </cell>
          <cell r="K39">
            <v>48879755</v>
          </cell>
          <cell r="L39">
            <v>51589817</v>
          </cell>
          <cell r="M39">
            <v>49973920</v>
          </cell>
          <cell r="N39">
            <v>47279086</v>
          </cell>
        </row>
        <row r="40">
          <cell r="B40">
            <v>39</v>
          </cell>
          <cell r="D40" t="str">
            <v>Canada</v>
          </cell>
          <cell r="F40" t="str">
            <v>North America</v>
          </cell>
          <cell r="G40">
            <v>38454327</v>
          </cell>
          <cell r="H40">
            <v>37888705</v>
          </cell>
          <cell r="I40">
            <v>35732126</v>
          </cell>
          <cell r="J40">
            <v>33963412</v>
          </cell>
          <cell r="K40">
            <v>30683313</v>
          </cell>
          <cell r="L40">
            <v>27657204</v>
          </cell>
          <cell r="M40">
            <v>24511510</v>
          </cell>
          <cell r="N40">
            <v>21434577</v>
          </cell>
        </row>
        <row r="41">
          <cell r="B41">
            <v>40</v>
          </cell>
          <cell r="D41" t="str">
            <v>Morocco</v>
          </cell>
          <cell r="F41" t="str">
            <v>Africa</v>
          </cell>
          <cell r="G41">
            <v>37457971</v>
          </cell>
          <cell r="H41">
            <v>36688772</v>
          </cell>
          <cell r="I41">
            <v>34680458</v>
          </cell>
          <cell r="J41">
            <v>32464865</v>
          </cell>
          <cell r="K41">
            <v>28554415</v>
          </cell>
          <cell r="L41">
            <v>24570814</v>
          </cell>
          <cell r="M41">
            <v>19678444</v>
          </cell>
          <cell r="N41">
            <v>15274351</v>
          </cell>
        </row>
        <row r="42">
          <cell r="B42">
            <v>41</v>
          </cell>
          <cell r="D42" t="str">
            <v>Saudi Arabia</v>
          </cell>
          <cell r="F42" t="str">
            <v>Asia</v>
          </cell>
          <cell r="G42">
            <v>36408820</v>
          </cell>
          <cell r="H42">
            <v>35997107</v>
          </cell>
          <cell r="I42">
            <v>32749848</v>
          </cell>
          <cell r="J42">
            <v>29411929</v>
          </cell>
          <cell r="K42">
            <v>21547390</v>
          </cell>
          <cell r="L42">
            <v>16004763</v>
          </cell>
          <cell r="M42">
            <v>10171710</v>
          </cell>
          <cell r="N42">
            <v>6106191</v>
          </cell>
        </row>
        <row r="43">
          <cell r="B43">
            <v>42</v>
          </cell>
          <cell r="D43" t="str">
            <v>Angola</v>
          </cell>
          <cell r="F43" t="str">
            <v>Africa</v>
          </cell>
          <cell r="G43">
            <v>35588987</v>
          </cell>
          <cell r="H43">
            <v>33428485</v>
          </cell>
          <cell r="I43">
            <v>28127721</v>
          </cell>
          <cell r="J43">
            <v>23364185</v>
          </cell>
          <cell r="K43">
            <v>16394062</v>
          </cell>
          <cell r="L43">
            <v>11828638</v>
          </cell>
          <cell r="M43">
            <v>8330047</v>
          </cell>
          <cell r="N43">
            <v>6029700</v>
          </cell>
        </row>
        <row r="44">
          <cell r="B44">
            <v>43</v>
          </cell>
          <cell r="D44" t="str">
            <v>Uzbekistan</v>
          </cell>
          <cell r="F44" t="str">
            <v>Asia</v>
          </cell>
          <cell r="G44">
            <v>34627652</v>
          </cell>
          <cell r="H44">
            <v>33526656</v>
          </cell>
          <cell r="I44">
            <v>30949417</v>
          </cell>
          <cell r="J44">
            <v>28614227</v>
          </cell>
          <cell r="K44">
            <v>24925554</v>
          </cell>
          <cell r="L44">
            <v>20579100</v>
          </cell>
          <cell r="M44">
            <v>15947129</v>
          </cell>
          <cell r="N44">
            <v>12011361</v>
          </cell>
        </row>
        <row r="45">
          <cell r="B45">
            <v>44</v>
          </cell>
          <cell r="D45" t="str">
            <v>Peru</v>
          </cell>
          <cell r="F45" t="str">
            <v>South America</v>
          </cell>
          <cell r="G45">
            <v>34049588</v>
          </cell>
          <cell r="H45">
            <v>33304756</v>
          </cell>
          <cell r="I45">
            <v>30711863</v>
          </cell>
          <cell r="J45">
            <v>29229572</v>
          </cell>
          <cell r="K45">
            <v>26654439</v>
          </cell>
          <cell r="L45">
            <v>22109099</v>
          </cell>
          <cell r="M45">
            <v>17492406</v>
          </cell>
          <cell r="N45">
            <v>13562371</v>
          </cell>
        </row>
        <row r="46">
          <cell r="B46">
            <v>45</v>
          </cell>
          <cell r="D46" t="str">
            <v>Malaysia</v>
          </cell>
          <cell r="F46" t="str">
            <v>Asia</v>
          </cell>
          <cell r="G46">
            <v>33938221</v>
          </cell>
          <cell r="H46">
            <v>33199993</v>
          </cell>
          <cell r="I46">
            <v>31068833</v>
          </cell>
          <cell r="J46">
            <v>28717731</v>
          </cell>
          <cell r="K46">
            <v>22945150</v>
          </cell>
          <cell r="L46">
            <v>17517054</v>
          </cell>
          <cell r="M46">
            <v>13215707</v>
          </cell>
          <cell r="N46">
            <v>10306508</v>
          </cell>
        </row>
        <row r="47">
          <cell r="B47">
            <v>46</v>
          </cell>
          <cell r="D47" t="str">
            <v>Yemen</v>
          </cell>
          <cell r="F47" t="str">
            <v>Asia</v>
          </cell>
          <cell r="G47">
            <v>33696614</v>
          </cell>
          <cell r="H47">
            <v>32284046</v>
          </cell>
          <cell r="I47">
            <v>28516545</v>
          </cell>
          <cell r="J47">
            <v>24743946</v>
          </cell>
          <cell r="K47">
            <v>18628700</v>
          </cell>
          <cell r="L47">
            <v>13375121</v>
          </cell>
          <cell r="M47">
            <v>9204938</v>
          </cell>
          <cell r="N47">
            <v>6843607</v>
          </cell>
        </row>
        <row r="48">
          <cell r="B48">
            <v>47</v>
          </cell>
          <cell r="D48" t="str">
            <v>Ghana</v>
          </cell>
          <cell r="F48" t="str">
            <v>Africa</v>
          </cell>
          <cell r="G48">
            <v>33475870</v>
          </cell>
          <cell r="H48">
            <v>32180401</v>
          </cell>
          <cell r="I48">
            <v>28870939</v>
          </cell>
          <cell r="J48">
            <v>25574719</v>
          </cell>
          <cell r="K48">
            <v>19665502</v>
          </cell>
          <cell r="L48">
            <v>15446982</v>
          </cell>
          <cell r="M48">
            <v>11865246</v>
          </cell>
          <cell r="N48">
            <v>8861895</v>
          </cell>
        </row>
        <row r="49">
          <cell r="B49">
            <v>48</v>
          </cell>
          <cell r="D49" t="str">
            <v>Mozambique</v>
          </cell>
          <cell r="F49" t="str">
            <v>Africa</v>
          </cell>
          <cell r="G49">
            <v>32969517</v>
          </cell>
          <cell r="H49">
            <v>31178239</v>
          </cell>
          <cell r="I49">
            <v>26843246</v>
          </cell>
          <cell r="J49">
            <v>23073723</v>
          </cell>
          <cell r="K49">
            <v>17768505</v>
          </cell>
          <cell r="L49">
            <v>13303459</v>
          </cell>
          <cell r="M49">
            <v>11413587</v>
          </cell>
          <cell r="N49">
            <v>8411676</v>
          </cell>
        </row>
        <row r="50">
          <cell r="B50">
            <v>49</v>
          </cell>
          <cell r="D50" t="str">
            <v>Nepal</v>
          </cell>
          <cell r="F50" t="str">
            <v>Asia</v>
          </cell>
          <cell r="G50">
            <v>30547580</v>
          </cell>
          <cell r="H50">
            <v>29348627</v>
          </cell>
          <cell r="I50">
            <v>27610325</v>
          </cell>
          <cell r="J50">
            <v>27161567</v>
          </cell>
          <cell r="K50">
            <v>24559500</v>
          </cell>
          <cell r="L50">
            <v>19616530</v>
          </cell>
          <cell r="M50">
            <v>15600442</v>
          </cell>
          <cell r="N50">
            <v>12501285</v>
          </cell>
        </row>
        <row r="51">
          <cell r="B51">
            <v>50</v>
          </cell>
          <cell r="D51" t="str">
            <v>Madagascar</v>
          </cell>
          <cell r="F51" t="str">
            <v>Africa</v>
          </cell>
          <cell r="G51">
            <v>29611714</v>
          </cell>
          <cell r="H51">
            <v>28225177</v>
          </cell>
          <cell r="I51">
            <v>24850912</v>
          </cell>
          <cell r="J51">
            <v>21731053</v>
          </cell>
          <cell r="K51">
            <v>16216431</v>
          </cell>
          <cell r="L51">
            <v>11882762</v>
          </cell>
          <cell r="M51">
            <v>8948162</v>
          </cell>
          <cell r="N51">
            <v>6639751</v>
          </cell>
        </row>
        <row r="52">
          <cell r="B52">
            <v>51</v>
          </cell>
          <cell r="D52" t="str">
            <v>Venezuela</v>
          </cell>
          <cell r="F52" t="str">
            <v>South America</v>
          </cell>
          <cell r="G52">
            <v>28301696</v>
          </cell>
          <cell r="H52">
            <v>28490453</v>
          </cell>
          <cell r="I52">
            <v>30529716</v>
          </cell>
          <cell r="J52">
            <v>28715022</v>
          </cell>
          <cell r="K52">
            <v>24427729</v>
          </cell>
          <cell r="L52">
            <v>19750579</v>
          </cell>
          <cell r="M52">
            <v>15210443</v>
          </cell>
          <cell r="N52">
            <v>11355475</v>
          </cell>
        </row>
        <row r="53">
          <cell r="B53">
            <v>52</v>
          </cell>
          <cell r="D53" t="str">
            <v>Ivory Coast</v>
          </cell>
          <cell r="F53" t="str">
            <v>Africa</v>
          </cell>
          <cell r="G53">
            <v>28160542</v>
          </cell>
          <cell r="H53">
            <v>26811790</v>
          </cell>
          <cell r="I53">
            <v>23596741</v>
          </cell>
          <cell r="J53">
            <v>21120042</v>
          </cell>
          <cell r="K53">
            <v>16799670</v>
          </cell>
          <cell r="L53">
            <v>11910540</v>
          </cell>
          <cell r="M53">
            <v>8303809</v>
          </cell>
          <cell r="N53">
            <v>5477086</v>
          </cell>
        </row>
        <row r="54">
          <cell r="B54">
            <v>53</v>
          </cell>
          <cell r="D54" t="str">
            <v>Cameroon</v>
          </cell>
          <cell r="F54" t="str">
            <v>Africa</v>
          </cell>
          <cell r="G54">
            <v>27914536</v>
          </cell>
          <cell r="H54">
            <v>26491087</v>
          </cell>
          <cell r="I54">
            <v>23012646</v>
          </cell>
          <cell r="J54">
            <v>19878036</v>
          </cell>
          <cell r="K54">
            <v>15091594</v>
          </cell>
          <cell r="L54">
            <v>11430520</v>
          </cell>
          <cell r="M54">
            <v>8519891</v>
          </cell>
          <cell r="N54">
            <v>6452787</v>
          </cell>
        </row>
        <row r="55">
          <cell r="B55">
            <v>54</v>
          </cell>
          <cell r="D55" t="str">
            <v>Niger</v>
          </cell>
          <cell r="F55" t="str">
            <v>Africa</v>
          </cell>
          <cell r="G55">
            <v>26207977</v>
          </cell>
          <cell r="H55">
            <v>24333639</v>
          </cell>
          <cell r="I55">
            <v>20128124</v>
          </cell>
          <cell r="J55">
            <v>16647543</v>
          </cell>
          <cell r="K55">
            <v>11622665</v>
          </cell>
          <cell r="L55">
            <v>8370647</v>
          </cell>
          <cell r="M55">
            <v>6173177</v>
          </cell>
          <cell r="N55">
            <v>4669708</v>
          </cell>
        </row>
        <row r="56">
          <cell r="B56">
            <v>55</v>
          </cell>
          <cell r="D56" t="str">
            <v>Australia</v>
          </cell>
          <cell r="F56" t="str">
            <v>Oceania</v>
          </cell>
          <cell r="G56">
            <v>26177413</v>
          </cell>
          <cell r="H56">
            <v>25670051</v>
          </cell>
          <cell r="I56">
            <v>23820236</v>
          </cell>
          <cell r="J56">
            <v>22019168</v>
          </cell>
          <cell r="K56">
            <v>19017963</v>
          </cell>
          <cell r="L56">
            <v>17048003</v>
          </cell>
          <cell r="M56">
            <v>14706322</v>
          </cell>
          <cell r="N56">
            <v>12595034</v>
          </cell>
        </row>
        <row r="57">
          <cell r="B57">
            <v>56</v>
          </cell>
          <cell r="D57" t="str">
            <v>North Korea</v>
          </cell>
          <cell r="F57" t="str">
            <v>Asia</v>
          </cell>
          <cell r="G57">
            <v>26069416</v>
          </cell>
          <cell r="H57">
            <v>25867467</v>
          </cell>
          <cell r="I57">
            <v>25258015</v>
          </cell>
          <cell r="J57">
            <v>24686435</v>
          </cell>
          <cell r="K57">
            <v>23367059</v>
          </cell>
          <cell r="L57">
            <v>20799523</v>
          </cell>
          <cell r="M57">
            <v>17973650</v>
          </cell>
          <cell r="N57">
            <v>14996879</v>
          </cell>
        </row>
        <row r="58">
          <cell r="B58">
            <v>57</v>
          </cell>
          <cell r="D58" t="str">
            <v>Taiwan</v>
          </cell>
          <cell r="F58" t="str">
            <v>Asia</v>
          </cell>
          <cell r="G58">
            <v>23893394</v>
          </cell>
          <cell r="H58">
            <v>23821464</v>
          </cell>
          <cell r="I58">
            <v>23512136</v>
          </cell>
          <cell r="J58">
            <v>23083083</v>
          </cell>
          <cell r="K58">
            <v>22194731</v>
          </cell>
          <cell r="L58">
            <v>20586174</v>
          </cell>
          <cell r="M58">
            <v>18100281</v>
          </cell>
          <cell r="N58">
            <v>14957870</v>
          </cell>
        </row>
        <row r="59">
          <cell r="B59">
            <v>58</v>
          </cell>
          <cell r="D59" t="str">
            <v>Burkina Faso</v>
          </cell>
          <cell r="F59" t="str">
            <v>Africa</v>
          </cell>
          <cell r="G59">
            <v>22673762</v>
          </cell>
          <cell r="H59">
            <v>21522626</v>
          </cell>
          <cell r="I59">
            <v>18718019</v>
          </cell>
          <cell r="J59">
            <v>16116845</v>
          </cell>
          <cell r="K59">
            <v>11882888</v>
          </cell>
          <cell r="L59">
            <v>9131361</v>
          </cell>
          <cell r="M59">
            <v>6932967</v>
          </cell>
          <cell r="N59">
            <v>5611666</v>
          </cell>
        </row>
        <row r="60">
          <cell r="B60">
            <v>59</v>
          </cell>
          <cell r="D60" t="str">
            <v>Mali</v>
          </cell>
          <cell r="F60" t="str">
            <v>Africa</v>
          </cell>
          <cell r="G60">
            <v>22593590</v>
          </cell>
          <cell r="H60">
            <v>21224040</v>
          </cell>
          <cell r="I60">
            <v>18112907</v>
          </cell>
          <cell r="J60">
            <v>15529181</v>
          </cell>
          <cell r="K60">
            <v>11239101</v>
          </cell>
          <cell r="L60">
            <v>8945026</v>
          </cell>
          <cell r="M60">
            <v>7372581</v>
          </cell>
          <cell r="N60">
            <v>6153587</v>
          </cell>
        </row>
        <row r="61">
          <cell r="B61">
            <v>60</v>
          </cell>
          <cell r="D61" t="str">
            <v>Syria</v>
          </cell>
          <cell r="F61" t="str">
            <v>Asia</v>
          </cell>
          <cell r="G61">
            <v>22125249</v>
          </cell>
          <cell r="H61">
            <v>20772595</v>
          </cell>
          <cell r="I61">
            <v>19205178</v>
          </cell>
          <cell r="J61">
            <v>22337563</v>
          </cell>
          <cell r="K61">
            <v>16307654</v>
          </cell>
          <cell r="L61">
            <v>12408996</v>
          </cell>
          <cell r="M61">
            <v>8898954</v>
          </cell>
          <cell r="N61">
            <v>6319199</v>
          </cell>
        </row>
        <row r="62">
          <cell r="B62">
            <v>61</v>
          </cell>
          <cell r="D62" t="str">
            <v>Sri Lanka</v>
          </cell>
          <cell r="F62" t="str">
            <v>Asia</v>
          </cell>
          <cell r="G62">
            <v>21832143</v>
          </cell>
          <cell r="H62">
            <v>21715079</v>
          </cell>
          <cell r="I62">
            <v>21336697</v>
          </cell>
          <cell r="J62">
            <v>20668557</v>
          </cell>
          <cell r="K62">
            <v>18776371</v>
          </cell>
          <cell r="L62">
            <v>17204094</v>
          </cell>
          <cell r="M62">
            <v>14943645</v>
          </cell>
          <cell r="N62">
            <v>12388769</v>
          </cell>
        </row>
        <row r="63">
          <cell r="B63">
            <v>62</v>
          </cell>
          <cell r="D63" t="str">
            <v>Malawi</v>
          </cell>
          <cell r="F63" t="str">
            <v>Africa</v>
          </cell>
          <cell r="G63">
            <v>20405317</v>
          </cell>
          <cell r="H63">
            <v>19377061</v>
          </cell>
          <cell r="I63">
            <v>16938942</v>
          </cell>
          <cell r="J63">
            <v>14718422</v>
          </cell>
          <cell r="K63">
            <v>11229387</v>
          </cell>
          <cell r="L63">
            <v>9539665</v>
          </cell>
          <cell r="M63">
            <v>6267369</v>
          </cell>
          <cell r="N63">
            <v>4625141</v>
          </cell>
        </row>
        <row r="64">
          <cell r="B64">
            <v>63</v>
          </cell>
          <cell r="D64" t="str">
            <v>Zambia</v>
          </cell>
          <cell r="F64" t="str">
            <v>Africa</v>
          </cell>
          <cell r="G64">
            <v>20017675</v>
          </cell>
          <cell r="H64">
            <v>18927715</v>
          </cell>
          <cell r="I64">
            <v>16248230</v>
          </cell>
          <cell r="J64">
            <v>13792086</v>
          </cell>
          <cell r="K64">
            <v>9891136</v>
          </cell>
          <cell r="L64">
            <v>7686401</v>
          </cell>
          <cell r="M64">
            <v>5720438</v>
          </cell>
          <cell r="N64">
            <v>4281671</v>
          </cell>
        </row>
        <row r="65">
          <cell r="B65">
            <v>64</v>
          </cell>
          <cell r="D65" t="str">
            <v>Romania</v>
          </cell>
          <cell r="F65" t="str">
            <v>Europe</v>
          </cell>
          <cell r="G65">
            <v>19659267</v>
          </cell>
          <cell r="H65">
            <v>19442038</v>
          </cell>
          <cell r="I65">
            <v>19906079</v>
          </cell>
          <cell r="J65">
            <v>20335211</v>
          </cell>
          <cell r="K65">
            <v>21919876</v>
          </cell>
          <cell r="L65">
            <v>22836234</v>
          </cell>
          <cell r="M65">
            <v>22125224</v>
          </cell>
          <cell r="N65">
            <v>19922618</v>
          </cell>
        </row>
        <row r="66">
          <cell r="B66">
            <v>65</v>
          </cell>
          <cell r="D66" t="str">
            <v>Chile</v>
          </cell>
          <cell r="F66" t="str">
            <v>South America</v>
          </cell>
          <cell r="G66">
            <v>19603733</v>
          </cell>
          <cell r="H66">
            <v>19300315</v>
          </cell>
          <cell r="I66">
            <v>17870124</v>
          </cell>
          <cell r="J66">
            <v>17004162</v>
          </cell>
          <cell r="K66">
            <v>15351799</v>
          </cell>
          <cell r="L66">
            <v>13342868</v>
          </cell>
          <cell r="M66">
            <v>11469828</v>
          </cell>
          <cell r="N66">
            <v>9820481</v>
          </cell>
        </row>
        <row r="67">
          <cell r="B67">
            <v>66</v>
          </cell>
          <cell r="D67" t="str">
            <v>Kazakhstan</v>
          </cell>
          <cell r="F67" t="str">
            <v>Asia</v>
          </cell>
          <cell r="G67">
            <v>19397998</v>
          </cell>
          <cell r="H67">
            <v>18979243</v>
          </cell>
          <cell r="I67">
            <v>17835909</v>
          </cell>
          <cell r="J67">
            <v>16627837</v>
          </cell>
          <cell r="K67">
            <v>15236253</v>
          </cell>
          <cell r="L67">
            <v>16866563</v>
          </cell>
          <cell r="M67">
            <v>14172710</v>
          </cell>
          <cell r="N67">
            <v>12265305</v>
          </cell>
        </row>
        <row r="68">
          <cell r="B68">
            <v>67</v>
          </cell>
          <cell r="D68" t="str">
            <v>Ecuador</v>
          </cell>
          <cell r="F68" t="str">
            <v>South America</v>
          </cell>
          <cell r="G68">
            <v>18001000</v>
          </cell>
          <cell r="H68">
            <v>17588595</v>
          </cell>
          <cell r="I68">
            <v>16195902</v>
          </cell>
          <cell r="J68">
            <v>14989585</v>
          </cell>
          <cell r="K68">
            <v>12626507</v>
          </cell>
          <cell r="L68">
            <v>10449837</v>
          </cell>
          <cell r="M68">
            <v>8135845</v>
          </cell>
          <cell r="N68">
            <v>6172215</v>
          </cell>
        </row>
        <row r="69">
          <cell r="B69">
            <v>68</v>
          </cell>
          <cell r="D69" t="str">
            <v>Guatemala</v>
          </cell>
          <cell r="F69" t="str">
            <v>North America</v>
          </cell>
          <cell r="G69">
            <v>17843908</v>
          </cell>
          <cell r="H69">
            <v>17362718</v>
          </cell>
          <cell r="I69">
            <v>16001107</v>
          </cell>
          <cell r="J69">
            <v>14543121</v>
          </cell>
          <cell r="K69">
            <v>11735894</v>
          </cell>
          <cell r="L69">
            <v>9084780</v>
          </cell>
          <cell r="M69">
            <v>6987767</v>
          </cell>
          <cell r="N69">
            <v>5453208</v>
          </cell>
        </row>
        <row r="70">
          <cell r="B70">
            <v>69</v>
          </cell>
          <cell r="D70" t="str">
            <v>Chad</v>
          </cell>
          <cell r="F70" t="str">
            <v>Africa</v>
          </cell>
          <cell r="G70">
            <v>17723315</v>
          </cell>
          <cell r="H70">
            <v>16644701</v>
          </cell>
          <cell r="I70">
            <v>14140274</v>
          </cell>
          <cell r="J70">
            <v>11894727</v>
          </cell>
          <cell r="K70">
            <v>8259137</v>
          </cell>
          <cell r="L70">
            <v>5827069</v>
          </cell>
          <cell r="M70">
            <v>4408230</v>
          </cell>
          <cell r="N70">
            <v>3667394</v>
          </cell>
        </row>
        <row r="71">
          <cell r="B71">
            <v>70</v>
          </cell>
          <cell r="D71" t="str">
            <v>Somalia</v>
          </cell>
          <cell r="F71" t="str">
            <v>Africa</v>
          </cell>
          <cell r="G71">
            <v>17597511</v>
          </cell>
          <cell r="H71">
            <v>16537016</v>
          </cell>
          <cell r="I71">
            <v>13763906</v>
          </cell>
          <cell r="J71">
            <v>12026649</v>
          </cell>
          <cell r="K71">
            <v>8721465</v>
          </cell>
          <cell r="L71">
            <v>6999096</v>
          </cell>
          <cell r="M71">
            <v>5892224</v>
          </cell>
          <cell r="N71">
            <v>3720977</v>
          </cell>
        </row>
        <row r="72">
          <cell r="B72">
            <v>71</v>
          </cell>
          <cell r="D72" t="str">
            <v>Netherlands</v>
          </cell>
          <cell r="F72" t="str">
            <v>Europe</v>
          </cell>
          <cell r="G72">
            <v>17564014</v>
          </cell>
          <cell r="H72">
            <v>17434557</v>
          </cell>
          <cell r="I72">
            <v>17041107</v>
          </cell>
          <cell r="J72">
            <v>16617116</v>
          </cell>
          <cell r="K72">
            <v>15899135</v>
          </cell>
          <cell r="L72">
            <v>14944548</v>
          </cell>
          <cell r="M72">
            <v>14130387</v>
          </cell>
          <cell r="N72">
            <v>13037686</v>
          </cell>
        </row>
        <row r="73">
          <cell r="B73">
            <v>72</v>
          </cell>
          <cell r="D73" t="str">
            <v>Senegal</v>
          </cell>
          <cell r="F73" t="str">
            <v>Africa</v>
          </cell>
          <cell r="G73">
            <v>17316449</v>
          </cell>
          <cell r="H73">
            <v>16436119</v>
          </cell>
          <cell r="I73">
            <v>14356181</v>
          </cell>
          <cell r="J73">
            <v>12530121</v>
          </cell>
          <cell r="K73">
            <v>9704287</v>
          </cell>
          <cell r="L73">
            <v>7536001</v>
          </cell>
          <cell r="M73">
            <v>5703869</v>
          </cell>
          <cell r="N73">
            <v>4367744</v>
          </cell>
        </row>
        <row r="74">
          <cell r="B74">
            <v>73</v>
          </cell>
          <cell r="D74" t="str">
            <v>Cambodia</v>
          </cell>
          <cell r="F74" t="str">
            <v>Asia</v>
          </cell>
          <cell r="G74">
            <v>16767842</v>
          </cell>
          <cell r="H74">
            <v>16396860</v>
          </cell>
          <cell r="I74">
            <v>15417523</v>
          </cell>
          <cell r="J74">
            <v>14363532</v>
          </cell>
          <cell r="K74">
            <v>12118841</v>
          </cell>
          <cell r="L74">
            <v>8910808</v>
          </cell>
          <cell r="M74">
            <v>6198959</v>
          </cell>
          <cell r="N74">
            <v>6708525</v>
          </cell>
        </row>
        <row r="75">
          <cell r="B75">
            <v>74</v>
          </cell>
          <cell r="D75" t="str">
            <v>Zimbabwe</v>
          </cell>
          <cell r="F75" t="str">
            <v>Africa</v>
          </cell>
          <cell r="G75">
            <v>16320537</v>
          </cell>
          <cell r="H75">
            <v>15669666</v>
          </cell>
          <cell r="I75">
            <v>14154937</v>
          </cell>
          <cell r="J75">
            <v>12839771</v>
          </cell>
          <cell r="K75">
            <v>11834676</v>
          </cell>
          <cell r="L75">
            <v>10113893</v>
          </cell>
          <cell r="M75">
            <v>7049926</v>
          </cell>
          <cell r="N75">
            <v>5202918</v>
          </cell>
        </row>
        <row r="76">
          <cell r="B76">
            <v>75</v>
          </cell>
          <cell r="D76" t="str">
            <v>Guinea</v>
          </cell>
          <cell r="F76" t="str">
            <v>Africa</v>
          </cell>
          <cell r="G76">
            <v>13859341</v>
          </cell>
          <cell r="H76">
            <v>13205153</v>
          </cell>
          <cell r="I76">
            <v>11625998</v>
          </cell>
          <cell r="J76">
            <v>10270728</v>
          </cell>
          <cell r="K76">
            <v>8336967</v>
          </cell>
          <cell r="L76">
            <v>6354145</v>
          </cell>
          <cell r="M76">
            <v>4972609</v>
          </cell>
          <cell r="N76">
            <v>4222374</v>
          </cell>
        </row>
        <row r="77">
          <cell r="B77">
            <v>76</v>
          </cell>
          <cell r="D77" t="str">
            <v>Rwanda</v>
          </cell>
          <cell r="F77" t="str">
            <v>Africa</v>
          </cell>
          <cell r="G77">
            <v>13776698</v>
          </cell>
          <cell r="H77">
            <v>13146362</v>
          </cell>
          <cell r="I77">
            <v>11642959</v>
          </cell>
          <cell r="J77">
            <v>10309031</v>
          </cell>
          <cell r="K77">
            <v>8109989</v>
          </cell>
          <cell r="L77">
            <v>7319962</v>
          </cell>
          <cell r="M77">
            <v>5247532</v>
          </cell>
          <cell r="N77">
            <v>3896367</v>
          </cell>
        </row>
        <row r="78">
          <cell r="B78">
            <v>77</v>
          </cell>
          <cell r="D78" t="str">
            <v>Benin</v>
          </cell>
          <cell r="F78" t="str">
            <v>Africa</v>
          </cell>
          <cell r="G78">
            <v>13352864</v>
          </cell>
          <cell r="H78">
            <v>12643123</v>
          </cell>
          <cell r="I78">
            <v>10932783</v>
          </cell>
          <cell r="J78">
            <v>9445710</v>
          </cell>
          <cell r="K78">
            <v>6998023</v>
          </cell>
          <cell r="L78">
            <v>5133419</v>
          </cell>
          <cell r="M78">
            <v>3833939</v>
          </cell>
          <cell r="N78">
            <v>3023443</v>
          </cell>
        </row>
        <row r="79">
          <cell r="B79">
            <v>78</v>
          </cell>
          <cell r="D79" t="str">
            <v>Burundi</v>
          </cell>
          <cell r="F79" t="str">
            <v>Africa</v>
          </cell>
          <cell r="G79">
            <v>12889576</v>
          </cell>
          <cell r="H79">
            <v>12220227</v>
          </cell>
          <cell r="I79">
            <v>10727148</v>
          </cell>
          <cell r="J79">
            <v>9126605</v>
          </cell>
          <cell r="K79">
            <v>6307659</v>
          </cell>
          <cell r="L79">
            <v>5483793</v>
          </cell>
          <cell r="M79">
            <v>4312834</v>
          </cell>
          <cell r="N79">
            <v>3497834</v>
          </cell>
        </row>
        <row r="80">
          <cell r="B80">
            <v>79</v>
          </cell>
          <cell r="D80" t="str">
            <v>Tunisia</v>
          </cell>
          <cell r="F80" t="str">
            <v>Africa</v>
          </cell>
          <cell r="G80">
            <v>12356117</v>
          </cell>
          <cell r="H80">
            <v>12161723</v>
          </cell>
          <cell r="I80">
            <v>11557779</v>
          </cell>
          <cell r="J80">
            <v>10895063</v>
          </cell>
          <cell r="K80">
            <v>9893316</v>
          </cell>
          <cell r="L80">
            <v>8440023</v>
          </cell>
          <cell r="M80">
            <v>6578156</v>
          </cell>
          <cell r="N80">
            <v>5047404</v>
          </cell>
        </row>
        <row r="81">
          <cell r="B81">
            <v>80</v>
          </cell>
          <cell r="D81" t="str">
            <v>Bolivia</v>
          </cell>
          <cell r="F81" t="str">
            <v>South America</v>
          </cell>
          <cell r="G81">
            <v>12224110</v>
          </cell>
          <cell r="H81">
            <v>11936162</v>
          </cell>
          <cell r="I81">
            <v>11090085</v>
          </cell>
          <cell r="J81">
            <v>10223270</v>
          </cell>
          <cell r="K81">
            <v>8592656</v>
          </cell>
          <cell r="L81">
            <v>7096194</v>
          </cell>
          <cell r="M81">
            <v>5736088</v>
          </cell>
          <cell r="N81">
            <v>4585693</v>
          </cell>
        </row>
        <row r="82">
          <cell r="B82">
            <v>81</v>
          </cell>
          <cell r="D82" t="str">
            <v>Belgium</v>
          </cell>
          <cell r="F82" t="str">
            <v>Europe</v>
          </cell>
          <cell r="G82">
            <v>11655930</v>
          </cell>
          <cell r="H82">
            <v>11561717</v>
          </cell>
          <cell r="I82">
            <v>11248303</v>
          </cell>
          <cell r="J82">
            <v>10877947</v>
          </cell>
          <cell r="K82">
            <v>10264343</v>
          </cell>
          <cell r="L82">
            <v>9959560</v>
          </cell>
          <cell r="M82">
            <v>9828986</v>
          </cell>
          <cell r="N82">
            <v>9629376</v>
          </cell>
        </row>
        <row r="83">
          <cell r="B83">
            <v>82</v>
          </cell>
          <cell r="D83" t="str">
            <v>Haiti</v>
          </cell>
          <cell r="F83" t="str">
            <v>North America</v>
          </cell>
          <cell r="G83">
            <v>11584996</v>
          </cell>
          <cell r="H83">
            <v>11306801</v>
          </cell>
          <cell r="I83">
            <v>10563757</v>
          </cell>
          <cell r="J83">
            <v>9842880</v>
          </cell>
          <cell r="K83">
            <v>8360225</v>
          </cell>
          <cell r="L83">
            <v>6925331</v>
          </cell>
          <cell r="M83">
            <v>5646676</v>
          </cell>
          <cell r="N83">
            <v>4680812</v>
          </cell>
        </row>
        <row r="84">
          <cell r="B84">
            <v>83</v>
          </cell>
          <cell r="D84" t="str">
            <v>Jordan</v>
          </cell>
          <cell r="F84" t="str">
            <v>Asia</v>
          </cell>
          <cell r="G84">
            <v>11285869</v>
          </cell>
          <cell r="H84">
            <v>10928721</v>
          </cell>
          <cell r="I84">
            <v>9494246</v>
          </cell>
          <cell r="J84">
            <v>6931258</v>
          </cell>
          <cell r="K84">
            <v>5056174</v>
          </cell>
          <cell r="L84">
            <v>3480587</v>
          </cell>
          <cell r="M84">
            <v>2216903</v>
          </cell>
          <cell r="N84">
            <v>1557374</v>
          </cell>
        </row>
        <row r="85">
          <cell r="B85">
            <v>84</v>
          </cell>
          <cell r="D85" t="str">
            <v>Dominican Republic</v>
          </cell>
          <cell r="F85" t="str">
            <v>North America</v>
          </cell>
          <cell r="G85">
            <v>11228821</v>
          </cell>
          <cell r="H85">
            <v>10999664</v>
          </cell>
          <cell r="I85">
            <v>10405832</v>
          </cell>
          <cell r="J85">
            <v>9775755</v>
          </cell>
          <cell r="K85">
            <v>8540791</v>
          </cell>
          <cell r="L85">
            <v>7129004</v>
          </cell>
          <cell r="M85">
            <v>5755800</v>
          </cell>
          <cell r="N85">
            <v>4475871</v>
          </cell>
        </row>
        <row r="86">
          <cell r="B86">
            <v>85</v>
          </cell>
          <cell r="D86" t="str">
            <v>Cuba</v>
          </cell>
          <cell r="F86" t="str">
            <v>North America</v>
          </cell>
          <cell r="G86">
            <v>11212191</v>
          </cell>
          <cell r="H86">
            <v>11300698</v>
          </cell>
          <cell r="I86">
            <v>11339894</v>
          </cell>
          <cell r="J86">
            <v>11290417</v>
          </cell>
          <cell r="K86">
            <v>11105791</v>
          </cell>
          <cell r="L86">
            <v>10626680</v>
          </cell>
          <cell r="M86">
            <v>9809107</v>
          </cell>
          <cell r="N86">
            <v>8869636</v>
          </cell>
        </row>
        <row r="87">
          <cell r="B87">
            <v>86</v>
          </cell>
          <cell r="D87" t="str">
            <v>South Sudan</v>
          </cell>
          <cell r="F87" t="str">
            <v>Africa</v>
          </cell>
          <cell r="G87">
            <v>10913164</v>
          </cell>
          <cell r="H87">
            <v>10606227</v>
          </cell>
          <cell r="I87">
            <v>11194299</v>
          </cell>
          <cell r="J87">
            <v>9714419</v>
          </cell>
          <cell r="K87">
            <v>6114440</v>
          </cell>
          <cell r="L87">
            <v>4750817</v>
          </cell>
          <cell r="M87">
            <v>4192011</v>
          </cell>
          <cell r="N87">
            <v>3342410</v>
          </cell>
        </row>
        <row r="88">
          <cell r="B88">
            <v>87</v>
          </cell>
          <cell r="D88" t="str">
            <v>Sweden</v>
          </cell>
          <cell r="F88" t="str">
            <v>Europe</v>
          </cell>
          <cell r="G88">
            <v>10549347</v>
          </cell>
          <cell r="H88">
            <v>10368969</v>
          </cell>
          <cell r="I88">
            <v>9849349</v>
          </cell>
          <cell r="J88">
            <v>9381729</v>
          </cell>
          <cell r="K88">
            <v>8871043</v>
          </cell>
          <cell r="L88">
            <v>8548406</v>
          </cell>
          <cell r="M88">
            <v>8311763</v>
          </cell>
          <cell r="N88">
            <v>8027702</v>
          </cell>
        </row>
        <row r="89">
          <cell r="B89">
            <v>88</v>
          </cell>
          <cell r="D89" t="str">
            <v>Czech Republic</v>
          </cell>
          <cell r="F89" t="str">
            <v>Europe</v>
          </cell>
          <cell r="G89">
            <v>10493986</v>
          </cell>
          <cell r="H89">
            <v>10530953</v>
          </cell>
          <cell r="I89">
            <v>10523798</v>
          </cell>
          <cell r="J89">
            <v>10464749</v>
          </cell>
          <cell r="K89">
            <v>10234710</v>
          </cell>
          <cell r="L89">
            <v>10301192</v>
          </cell>
          <cell r="M89">
            <v>10270060</v>
          </cell>
          <cell r="N89">
            <v>9795744</v>
          </cell>
        </row>
        <row r="90">
          <cell r="B90">
            <v>89</v>
          </cell>
          <cell r="D90" t="str">
            <v>Honduras</v>
          </cell>
          <cell r="F90" t="str">
            <v>North America</v>
          </cell>
          <cell r="G90">
            <v>10432860</v>
          </cell>
          <cell r="H90">
            <v>10121763</v>
          </cell>
          <cell r="I90">
            <v>9294505</v>
          </cell>
          <cell r="J90">
            <v>8450933</v>
          </cell>
          <cell r="K90">
            <v>6656725</v>
          </cell>
          <cell r="L90">
            <v>5053234</v>
          </cell>
          <cell r="M90">
            <v>3777990</v>
          </cell>
          <cell r="N90">
            <v>2782753</v>
          </cell>
        </row>
        <row r="91">
          <cell r="B91">
            <v>90</v>
          </cell>
          <cell r="D91" t="str">
            <v>Greece</v>
          </cell>
          <cell r="F91" t="str">
            <v>Europe</v>
          </cell>
          <cell r="G91">
            <v>10384971</v>
          </cell>
          <cell r="H91">
            <v>10512232</v>
          </cell>
          <cell r="I91">
            <v>10806641</v>
          </cell>
          <cell r="J91">
            <v>11033783</v>
          </cell>
          <cell r="K91">
            <v>11038109</v>
          </cell>
          <cell r="L91">
            <v>10302255</v>
          </cell>
          <cell r="M91">
            <v>9307148</v>
          </cell>
          <cell r="N91">
            <v>8544873</v>
          </cell>
        </row>
        <row r="92">
          <cell r="B92">
            <v>91</v>
          </cell>
          <cell r="D92" t="str">
            <v>Azerbaijan</v>
          </cell>
          <cell r="F92" t="str">
            <v>Asia</v>
          </cell>
          <cell r="G92">
            <v>10358074</v>
          </cell>
          <cell r="H92">
            <v>10284951</v>
          </cell>
          <cell r="I92">
            <v>9863480</v>
          </cell>
          <cell r="J92">
            <v>9237202</v>
          </cell>
          <cell r="K92">
            <v>8190337</v>
          </cell>
          <cell r="L92">
            <v>7427836</v>
          </cell>
          <cell r="M92">
            <v>6383060</v>
          </cell>
          <cell r="N92">
            <v>5425317</v>
          </cell>
        </row>
        <row r="93">
          <cell r="B93">
            <v>92</v>
          </cell>
          <cell r="D93" t="str">
            <v>Portugal</v>
          </cell>
          <cell r="F93" t="str">
            <v>Europe</v>
          </cell>
          <cell r="G93">
            <v>10270865</v>
          </cell>
          <cell r="H93">
            <v>10298192</v>
          </cell>
          <cell r="I93">
            <v>10365435</v>
          </cell>
          <cell r="J93">
            <v>10588401</v>
          </cell>
          <cell r="K93">
            <v>10300626</v>
          </cell>
          <cell r="L93">
            <v>10007346</v>
          </cell>
          <cell r="M93">
            <v>9785252</v>
          </cell>
          <cell r="N93">
            <v>8683631</v>
          </cell>
        </row>
        <row r="94">
          <cell r="B94">
            <v>93</v>
          </cell>
          <cell r="D94" t="str">
            <v>Papua New Guinea</v>
          </cell>
          <cell r="F94" t="str">
            <v>Oceania</v>
          </cell>
          <cell r="G94">
            <v>10142619</v>
          </cell>
          <cell r="H94">
            <v>9749640</v>
          </cell>
          <cell r="I94">
            <v>8682174</v>
          </cell>
          <cell r="J94">
            <v>7583269</v>
          </cell>
          <cell r="K94">
            <v>5508297</v>
          </cell>
          <cell r="L94">
            <v>3864972</v>
          </cell>
          <cell r="M94">
            <v>3104788</v>
          </cell>
          <cell r="N94">
            <v>2489059</v>
          </cell>
        </row>
        <row r="95">
          <cell r="B95">
            <v>94</v>
          </cell>
          <cell r="D95" t="str">
            <v>Hungary</v>
          </cell>
          <cell r="F95" t="str">
            <v>Europe</v>
          </cell>
          <cell r="G95">
            <v>9967308</v>
          </cell>
          <cell r="H95">
            <v>9750573</v>
          </cell>
          <cell r="I95">
            <v>9844246</v>
          </cell>
          <cell r="J95">
            <v>9986825</v>
          </cell>
          <cell r="K95">
            <v>10202055</v>
          </cell>
          <cell r="L95">
            <v>10375989</v>
          </cell>
          <cell r="M95">
            <v>10698679</v>
          </cell>
          <cell r="N95">
            <v>10315366</v>
          </cell>
        </row>
        <row r="96">
          <cell r="B96">
            <v>95</v>
          </cell>
          <cell r="D96" t="str">
            <v>Tajikistan</v>
          </cell>
          <cell r="F96" t="str">
            <v>Asia</v>
          </cell>
          <cell r="G96">
            <v>9952787</v>
          </cell>
          <cell r="H96">
            <v>9543207</v>
          </cell>
          <cell r="I96">
            <v>8524063</v>
          </cell>
          <cell r="J96">
            <v>7621779</v>
          </cell>
          <cell r="K96">
            <v>6272998</v>
          </cell>
          <cell r="L96">
            <v>5417860</v>
          </cell>
          <cell r="M96">
            <v>4045965</v>
          </cell>
          <cell r="N96">
            <v>2993019</v>
          </cell>
        </row>
        <row r="97">
          <cell r="B97">
            <v>96</v>
          </cell>
          <cell r="D97" t="str">
            <v>Belarus</v>
          </cell>
          <cell r="F97" t="str">
            <v>Europe</v>
          </cell>
          <cell r="G97">
            <v>9534954</v>
          </cell>
          <cell r="H97">
            <v>9633740</v>
          </cell>
          <cell r="I97">
            <v>9700609</v>
          </cell>
          <cell r="J97">
            <v>9731427</v>
          </cell>
          <cell r="K97">
            <v>10256483</v>
          </cell>
          <cell r="L97">
            <v>10428525</v>
          </cell>
          <cell r="M97">
            <v>9817257</v>
          </cell>
          <cell r="N97">
            <v>9170786</v>
          </cell>
        </row>
        <row r="98">
          <cell r="B98">
            <v>97</v>
          </cell>
          <cell r="D98" t="str">
            <v>United Arab Emirates</v>
          </cell>
          <cell r="F98" t="str">
            <v>Asia</v>
          </cell>
          <cell r="G98">
            <v>9441129</v>
          </cell>
          <cell r="H98">
            <v>9287289</v>
          </cell>
          <cell r="I98">
            <v>8916899</v>
          </cell>
          <cell r="J98">
            <v>8481771</v>
          </cell>
          <cell r="K98">
            <v>3275333</v>
          </cell>
          <cell r="L98">
            <v>1900151</v>
          </cell>
          <cell r="M98">
            <v>1014048</v>
          </cell>
          <cell r="N98">
            <v>298084</v>
          </cell>
        </row>
        <row r="99">
          <cell r="B99">
            <v>98</v>
          </cell>
          <cell r="D99" t="str">
            <v>Israel</v>
          </cell>
          <cell r="F99" t="str">
            <v>Asia</v>
          </cell>
          <cell r="G99">
            <v>9038309</v>
          </cell>
          <cell r="H99">
            <v>8757489</v>
          </cell>
          <cell r="I99">
            <v>8007778</v>
          </cell>
          <cell r="J99">
            <v>7328445</v>
          </cell>
          <cell r="K99">
            <v>6116958</v>
          </cell>
          <cell r="L99">
            <v>4803254</v>
          </cell>
          <cell r="M99">
            <v>3744608</v>
          </cell>
          <cell r="N99">
            <v>2907307</v>
          </cell>
        </row>
        <row r="100">
          <cell r="B100">
            <v>99</v>
          </cell>
          <cell r="D100" t="str">
            <v>Austria</v>
          </cell>
          <cell r="F100" t="str">
            <v>Europe</v>
          </cell>
          <cell r="G100">
            <v>8939617</v>
          </cell>
          <cell r="H100">
            <v>8907777</v>
          </cell>
          <cell r="I100">
            <v>8642421</v>
          </cell>
          <cell r="J100">
            <v>8362829</v>
          </cell>
          <cell r="K100">
            <v>8010428</v>
          </cell>
          <cell r="L100">
            <v>7678729</v>
          </cell>
          <cell r="M100">
            <v>7547561</v>
          </cell>
          <cell r="N100">
            <v>7465301</v>
          </cell>
        </row>
        <row r="101">
          <cell r="B101">
            <v>100</v>
          </cell>
          <cell r="D101" t="str">
            <v>Togo</v>
          </cell>
          <cell r="F101" t="str">
            <v>Africa</v>
          </cell>
          <cell r="G101">
            <v>8848699</v>
          </cell>
          <cell r="H101">
            <v>8442580</v>
          </cell>
          <cell r="I101">
            <v>7473229</v>
          </cell>
          <cell r="J101">
            <v>6571855</v>
          </cell>
          <cell r="K101">
            <v>5008035</v>
          </cell>
          <cell r="L101">
            <v>3875947</v>
          </cell>
          <cell r="M101">
            <v>2838110</v>
          </cell>
          <cell r="N101">
            <v>2197383</v>
          </cell>
        </row>
        <row r="102">
          <cell r="B102">
            <v>101</v>
          </cell>
          <cell r="D102" t="str">
            <v>Switzerland</v>
          </cell>
          <cell r="F102" t="str">
            <v>Europe</v>
          </cell>
          <cell r="G102">
            <v>8740472</v>
          </cell>
          <cell r="H102">
            <v>8638613</v>
          </cell>
          <cell r="I102">
            <v>8281732</v>
          </cell>
          <cell r="J102">
            <v>7822435</v>
          </cell>
          <cell r="K102">
            <v>7182059</v>
          </cell>
          <cell r="L102">
            <v>6711693</v>
          </cell>
          <cell r="M102">
            <v>6319113</v>
          </cell>
          <cell r="N102">
            <v>6181227</v>
          </cell>
        </row>
        <row r="103">
          <cell r="B103">
            <v>102</v>
          </cell>
          <cell r="D103" t="str">
            <v>Sierra Leone</v>
          </cell>
          <cell r="F103" t="str">
            <v>Africa</v>
          </cell>
          <cell r="G103">
            <v>8605718</v>
          </cell>
          <cell r="H103">
            <v>8233969</v>
          </cell>
          <cell r="I103">
            <v>7314773</v>
          </cell>
          <cell r="J103">
            <v>6436698</v>
          </cell>
          <cell r="K103">
            <v>4584067</v>
          </cell>
          <cell r="L103">
            <v>4325388</v>
          </cell>
          <cell r="M103">
            <v>3367477</v>
          </cell>
          <cell r="N103">
            <v>2778557</v>
          </cell>
        </row>
        <row r="104">
          <cell r="B104">
            <v>103</v>
          </cell>
          <cell r="D104" t="str">
            <v>Laos</v>
          </cell>
          <cell r="F104" t="str">
            <v>Asia</v>
          </cell>
          <cell r="G104">
            <v>7529475</v>
          </cell>
          <cell r="H104">
            <v>7319399</v>
          </cell>
          <cell r="I104">
            <v>6787419</v>
          </cell>
          <cell r="J104">
            <v>6323418</v>
          </cell>
          <cell r="K104">
            <v>5430853</v>
          </cell>
          <cell r="L104">
            <v>4314443</v>
          </cell>
          <cell r="M104">
            <v>3297519</v>
          </cell>
          <cell r="N104">
            <v>2675283</v>
          </cell>
        </row>
        <row r="105">
          <cell r="B105">
            <v>104</v>
          </cell>
          <cell r="D105" t="str">
            <v>Hong Kong</v>
          </cell>
          <cell r="F105" t="str">
            <v>Asia</v>
          </cell>
          <cell r="G105">
            <v>7488865</v>
          </cell>
          <cell r="H105">
            <v>7500958</v>
          </cell>
          <cell r="I105">
            <v>7399838</v>
          </cell>
          <cell r="J105">
            <v>7132438</v>
          </cell>
          <cell r="K105">
            <v>6731195</v>
          </cell>
          <cell r="L105">
            <v>5838574</v>
          </cell>
          <cell r="M105">
            <v>4978544</v>
          </cell>
          <cell r="N105">
            <v>3955072</v>
          </cell>
        </row>
        <row r="106">
          <cell r="B106">
            <v>105</v>
          </cell>
          <cell r="D106" t="str">
            <v>Serbia</v>
          </cell>
          <cell r="F106" t="str">
            <v>Europe</v>
          </cell>
          <cell r="G106">
            <v>7221365</v>
          </cell>
          <cell r="H106">
            <v>7358005</v>
          </cell>
          <cell r="I106">
            <v>7519496</v>
          </cell>
          <cell r="J106">
            <v>7653748</v>
          </cell>
          <cell r="K106">
            <v>7935022</v>
          </cell>
          <cell r="L106">
            <v>7987529</v>
          </cell>
          <cell r="M106">
            <v>7777010</v>
          </cell>
          <cell r="N106">
            <v>7193533</v>
          </cell>
        </row>
        <row r="107">
          <cell r="B107">
            <v>106</v>
          </cell>
          <cell r="D107" t="str">
            <v>Nicaragua</v>
          </cell>
          <cell r="F107" t="str">
            <v>North America</v>
          </cell>
          <cell r="G107">
            <v>6948392</v>
          </cell>
          <cell r="H107">
            <v>6755895</v>
          </cell>
          <cell r="I107">
            <v>6298598</v>
          </cell>
          <cell r="J107">
            <v>5855734</v>
          </cell>
          <cell r="K107">
            <v>5123222</v>
          </cell>
          <cell r="L107">
            <v>4227820</v>
          </cell>
          <cell r="M107">
            <v>3303309</v>
          </cell>
          <cell r="N107">
            <v>2444767</v>
          </cell>
        </row>
        <row r="108">
          <cell r="B108">
            <v>107</v>
          </cell>
          <cell r="D108" t="str">
            <v>Libya</v>
          </cell>
          <cell r="F108" t="str">
            <v>Africa</v>
          </cell>
          <cell r="G108">
            <v>6812341</v>
          </cell>
          <cell r="H108">
            <v>6653942</v>
          </cell>
          <cell r="I108">
            <v>6192235</v>
          </cell>
          <cell r="J108">
            <v>6491988</v>
          </cell>
          <cell r="K108">
            <v>5154790</v>
          </cell>
          <cell r="L108">
            <v>4236983</v>
          </cell>
          <cell r="M108">
            <v>2962720</v>
          </cell>
          <cell r="N108">
            <v>1909177</v>
          </cell>
        </row>
        <row r="109">
          <cell r="B109">
            <v>108</v>
          </cell>
          <cell r="D109" t="str">
            <v>Bulgaria</v>
          </cell>
          <cell r="F109" t="str">
            <v>Europe</v>
          </cell>
          <cell r="G109">
            <v>6781953</v>
          </cell>
          <cell r="H109">
            <v>6979175</v>
          </cell>
          <cell r="I109">
            <v>7309253</v>
          </cell>
          <cell r="J109">
            <v>7592273</v>
          </cell>
          <cell r="K109">
            <v>8097691</v>
          </cell>
          <cell r="L109">
            <v>8767778</v>
          </cell>
          <cell r="M109">
            <v>8980606</v>
          </cell>
          <cell r="N109">
            <v>8582950</v>
          </cell>
        </row>
        <row r="110">
          <cell r="B110">
            <v>109</v>
          </cell>
          <cell r="D110" t="str">
            <v>Paraguay</v>
          </cell>
          <cell r="F110" t="str">
            <v>South America</v>
          </cell>
          <cell r="G110">
            <v>6780744</v>
          </cell>
          <cell r="H110">
            <v>6618695</v>
          </cell>
          <cell r="I110">
            <v>6177950</v>
          </cell>
          <cell r="J110">
            <v>5768613</v>
          </cell>
          <cell r="K110">
            <v>5123819</v>
          </cell>
          <cell r="L110">
            <v>4059195</v>
          </cell>
          <cell r="M110">
            <v>3078912</v>
          </cell>
          <cell r="N110">
            <v>2408787</v>
          </cell>
        </row>
        <row r="111">
          <cell r="B111">
            <v>110</v>
          </cell>
          <cell r="D111" t="str">
            <v>Kyrgyzstan</v>
          </cell>
          <cell r="F111" t="str">
            <v>Asia</v>
          </cell>
          <cell r="G111">
            <v>6630623</v>
          </cell>
          <cell r="H111">
            <v>6424874</v>
          </cell>
          <cell r="I111">
            <v>5914980</v>
          </cell>
          <cell r="J111">
            <v>5483774</v>
          </cell>
          <cell r="K111">
            <v>4935182</v>
          </cell>
          <cell r="L111">
            <v>4394734</v>
          </cell>
          <cell r="M111">
            <v>3691209</v>
          </cell>
          <cell r="N111">
            <v>3016384</v>
          </cell>
        </row>
        <row r="112">
          <cell r="B112">
            <v>111</v>
          </cell>
          <cell r="D112" t="str">
            <v>Turkmenistan</v>
          </cell>
          <cell r="F112" t="str">
            <v>Asia</v>
          </cell>
          <cell r="G112">
            <v>6430770</v>
          </cell>
          <cell r="H112">
            <v>6250438</v>
          </cell>
          <cell r="I112">
            <v>5766431</v>
          </cell>
          <cell r="J112">
            <v>5267970</v>
          </cell>
          <cell r="K112">
            <v>4569132</v>
          </cell>
          <cell r="L112">
            <v>3720278</v>
          </cell>
          <cell r="M112">
            <v>2862903</v>
          </cell>
          <cell r="N112">
            <v>2201432</v>
          </cell>
        </row>
        <row r="113">
          <cell r="B113">
            <v>112</v>
          </cell>
          <cell r="D113" t="str">
            <v>El Salvador</v>
          </cell>
          <cell r="F113" t="str">
            <v>North America</v>
          </cell>
          <cell r="G113">
            <v>6336392</v>
          </cell>
          <cell r="H113">
            <v>6292731</v>
          </cell>
          <cell r="I113">
            <v>6231066</v>
          </cell>
          <cell r="J113">
            <v>6114034</v>
          </cell>
          <cell r="K113">
            <v>5958482</v>
          </cell>
          <cell r="L113">
            <v>5367179</v>
          </cell>
          <cell r="M113">
            <v>4508992</v>
          </cell>
          <cell r="N113">
            <v>3619090</v>
          </cell>
        </row>
        <row r="114">
          <cell r="B114">
            <v>113</v>
          </cell>
          <cell r="D114" t="str">
            <v>Singapore</v>
          </cell>
          <cell r="F114" t="str">
            <v>Asia</v>
          </cell>
          <cell r="G114">
            <v>5975689</v>
          </cell>
          <cell r="H114">
            <v>5909869</v>
          </cell>
          <cell r="I114">
            <v>5650018</v>
          </cell>
          <cell r="J114">
            <v>5163590</v>
          </cell>
          <cell r="K114">
            <v>4053602</v>
          </cell>
          <cell r="L114">
            <v>3022209</v>
          </cell>
          <cell r="M114">
            <v>2400729</v>
          </cell>
          <cell r="N114">
            <v>2061831</v>
          </cell>
        </row>
        <row r="115">
          <cell r="B115">
            <v>114</v>
          </cell>
          <cell r="D115" t="str">
            <v>Republic of the Congo</v>
          </cell>
          <cell r="F115" t="str">
            <v>Africa</v>
          </cell>
          <cell r="G115">
            <v>5970424</v>
          </cell>
          <cell r="H115">
            <v>5702174</v>
          </cell>
          <cell r="I115">
            <v>5064386</v>
          </cell>
          <cell r="J115">
            <v>4437884</v>
          </cell>
          <cell r="K115">
            <v>3134030</v>
          </cell>
          <cell r="L115">
            <v>2385435</v>
          </cell>
          <cell r="M115">
            <v>1829256</v>
          </cell>
          <cell r="N115">
            <v>1396989</v>
          </cell>
        </row>
        <row r="116">
          <cell r="B116">
            <v>115</v>
          </cell>
          <cell r="D116" t="str">
            <v>Denmark</v>
          </cell>
          <cell r="F116" t="str">
            <v>Europe</v>
          </cell>
          <cell r="G116">
            <v>5882261</v>
          </cell>
          <cell r="H116">
            <v>5825641</v>
          </cell>
          <cell r="I116">
            <v>5677796</v>
          </cell>
          <cell r="J116">
            <v>5550849</v>
          </cell>
          <cell r="K116">
            <v>5340655</v>
          </cell>
          <cell r="L116">
            <v>5144623</v>
          </cell>
          <cell r="M116">
            <v>5125392</v>
          </cell>
          <cell r="N116">
            <v>4922963</v>
          </cell>
        </row>
        <row r="117">
          <cell r="B117">
            <v>116</v>
          </cell>
          <cell r="D117" t="str">
            <v>Slovakia</v>
          </cell>
          <cell r="F117" t="str">
            <v>Europe</v>
          </cell>
          <cell r="G117">
            <v>5643453</v>
          </cell>
          <cell r="H117">
            <v>5456681</v>
          </cell>
          <cell r="I117">
            <v>5424444</v>
          </cell>
          <cell r="J117">
            <v>5396424</v>
          </cell>
          <cell r="K117">
            <v>5376690</v>
          </cell>
          <cell r="L117">
            <v>5261305</v>
          </cell>
          <cell r="M117">
            <v>4973883</v>
          </cell>
          <cell r="N117">
            <v>4522867</v>
          </cell>
        </row>
        <row r="118">
          <cell r="B118">
            <v>117</v>
          </cell>
          <cell r="D118" t="str">
            <v>Central African Republic</v>
          </cell>
          <cell r="F118" t="str">
            <v>Africa</v>
          </cell>
          <cell r="G118">
            <v>5579144</v>
          </cell>
          <cell r="H118">
            <v>5343020</v>
          </cell>
          <cell r="I118">
            <v>4819333</v>
          </cell>
          <cell r="J118">
            <v>4660067</v>
          </cell>
          <cell r="K118">
            <v>3759170</v>
          </cell>
          <cell r="L118">
            <v>2809221</v>
          </cell>
          <cell r="M118">
            <v>2415276</v>
          </cell>
          <cell r="N118">
            <v>2067356</v>
          </cell>
        </row>
        <row r="119">
          <cell r="B119">
            <v>118</v>
          </cell>
          <cell r="D119" t="str">
            <v>Finland</v>
          </cell>
          <cell r="F119" t="str">
            <v>Europe</v>
          </cell>
          <cell r="G119">
            <v>5540745</v>
          </cell>
          <cell r="H119">
            <v>5529468</v>
          </cell>
          <cell r="I119">
            <v>5479461</v>
          </cell>
          <cell r="J119">
            <v>5363271</v>
          </cell>
          <cell r="K119">
            <v>5176209</v>
          </cell>
          <cell r="L119">
            <v>4986545</v>
          </cell>
          <cell r="M119">
            <v>4779418</v>
          </cell>
          <cell r="N119">
            <v>4606621</v>
          </cell>
        </row>
        <row r="120">
          <cell r="B120">
            <v>119</v>
          </cell>
          <cell r="D120" t="str">
            <v>Lebanon</v>
          </cell>
          <cell r="F120" t="str">
            <v>Asia</v>
          </cell>
          <cell r="G120">
            <v>5489739</v>
          </cell>
          <cell r="H120">
            <v>5662923</v>
          </cell>
          <cell r="I120">
            <v>6398940</v>
          </cell>
          <cell r="J120">
            <v>4995800</v>
          </cell>
          <cell r="K120">
            <v>4320642</v>
          </cell>
          <cell r="L120">
            <v>3593700</v>
          </cell>
          <cell r="M120">
            <v>2963702</v>
          </cell>
          <cell r="N120">
            <v>2381791</v>
          </cell>
        </row>
        <row r="121">
          <cell r="B121">
            <v>120</v>
          </cell>
          <cell r="D121" t="str">
            <v>Norway</v>
          </cell>
          <cell r="F121" t="str">
            <v>Europe</v>
          </cell>
          <cell r="G121">
            <v>5434319</v>
          </cell>
          <cell r="H121">
            <v>5379839</v>
          </cell>
          <cell r="I121">
            <v>5190356</v>
          </cell>
          <cell r="J121">
            <v>4889741</v>
          </cell>
          <cell r="K121">
            <v>4491202</v>
          </cell>
          <cell r="L121">
            <v>4241636</v>
          </cell>
          <cell r="M121">
            <v>4085776</v>
          </cell>
          <cell r="N121">
            <v>3875546</v>
          </cell>
        </row>
        <row r="122">
          <cell r="B122">
            <v>121</v>
          </cell>
          <cell r="D122" t="str">
            <v>Liberia</v>
          </cell>
          <cell r="F122" t="str">
            <v>Africa</v>
          </cell>
          <cell r="G122">
            <v>5302681</v>
          </cell>
          <cell r="H122">
            <v>5087584</v>
          </cell>
          <cell r="I122">
            <v>4612329</v>
          </cell>
          <cell r="J122">
            <v>4019956</v>
          </cell>
          <cell r="K122">
            <v>2895224</v>
          </cell>
          <cell r="L122">
            <v>2209731</v>
          </cell>
          <cell r="M122">
            <v>1932169</v>
          </cell>
          <cell r="N122">
            <v>1463563</v>
          </cell>
        </row>
        <row r="123">
          <cell r="B123">
            <v>122</v>
          </cell>
          <cell r="D123" t="str">
            <v>Palestine</v>
          </cell>
          <cell r="F123" t="str">
            <v>Asia</v>
          </cell>
          <cell r="G123">
            <v>5250072</v>
          </cell>
          <cell r="H123">
            <v>5019401</v>
          </cell>
          <cell r="I123">
            <v>4484614</v>
          </cell>
          <cell r="J123">
            <v>3992278</v>
          </cell>
          <cell r="K123">
            <v>3139954</v>
          </cell>
          <cell r="L123">
            <v>2124609</v>
          </cell>
          <cell r="M123">
            <v>1453620</v>
          </cell>
          <cell r="N123">
            <v>1118241</v>
          </cell>
        </row>
        <row r="124">
          <cell r="B124">
            <v>123</v>
          </cell>
          <cell r="D124" t="str">
            <v>New Zealand</v>
          </cell>
          <cell r="F124" t="str">
            <v>Oceania</v>
          </cell>
          <cell r="G124">
            <v>5185288</v>
          </cell>
          <cell r="H124">
            <v>5061133</v>
          </cell>
          <cell r="I124">
            <v>4590590</v>
          </cell>
          <cell r="J124">
            <v>4346338</v>
          </cell>
          <cell r="K124">
            <v>3855266</v>
          </cell>
          <cell r="L124">
            <v>3397389</v>
          </cell>
          <cell r="M124">
            <v>3147168</v>
          </cell>
          <cell r="N124">
            <v>2824061</v>
          </cell>
        </row>
        <row r="125">
          <cell r="B125">
            <v>124</v>
          </cell>
          <cell r="D125" t="str">
            <v>Costa Rica</v>
          </cell>
          <cell r="F125" t="str">
            <v>North America</v>
          </cell>
          <cell r="G125">
            <v>5180829</v>
          </cell>
          <cell r="H125">
            <v>5123105</v>
          </cell>
          <cell r="I125">
            <v>4895242</v>
          </cell>
          <cell r="J125">
            <v>4622252</v>
          </cell>
          <cell r="K125">
            <v>3979193</v>
          </cell>
          <cell r="L125">
            <v>3158253</v>
          </cell>
          <cell r="M125">
            <v>2414303</v>
          </cell>
          <cell r="N125">
            <v>1855697</v>
          </cell>
        </row>
        <row r="126">
          <cell r="B126">
            <v>125</v>
          </cell>
          <cell r="D126" t="str">
            <v>Ireland</v>
          </cell>
          <cell r="F126" t="str">
            <v>Europe</v>
          </cell>
          <cell r="G126">
            <v>5023109</v>
          </cell>
          <cell r="H126">
            <v>4946119</v>
          </cell>
          <cell r="I126">
            <v>4665760</v>
          </cell>
          <cell r="J126">
            <v>4524585</v>
          </cell>
          <cell r="K126">
            <v>3768950</v>
          </cell>
          <cell r="L126">
            <v>3485374</v>
          </cell>
          <cell r="M126">
            <v>3391387</v>
          </cell>
          <cell r="N126">
            <v>2937637</v>
          </cell>
        </row>
        <row r="127">
          <cell r="B127">
            <v>126</v>
          </cell>
          <cell r="D127" t="str">
            <v>Mauritania</v>
          </cell>
          <cell r="F127" t="str">
            <v>Africa</v>
          </cell>
          <cell r="G127">
            <v>4736139</v>
          </cell>
          <cell r="H127">
            <v>4498604</v>
          </cell>
          <cell r="I127">
            <v>3946220</v>
          </cell>
          <cell r="J127">
            <v>3419461</v>
          </cell>
          <cell r="K127">
            <v>2695003</v>
          </cell>
          <cell r="L127">
            <v>2006027</v>
          </cell>
          <cell r="M127">
            <v>1506694</v>
          </cell>
          <cell r="N127">
            <v>1122198</v>
          </cell>
        </row>
        <row r="128">
          <cell r="B128">
            <v>127</v>
          </cell>
          <cell r="D128" t="str">
            <v>Oman</v>
          </cell>
          <cell r="F128" t="str">
            <v>Asia</v>
          </cell>
          <cell r="G128">
            <v>4576298</v>
          </cell>
          <cell r="H128">
            <v>4543399</v>
          </cell>
          <cell r="I128">
            <v>4191776</v>
          </cell>
          <cell r="J128">
            <v>2881914</v>
          </cell>
          <cell r="K128">
            <v>2344253</v>
          </cell>
          <cell r="L128">
            <v>1804524</v>
          </cell>
          <cell r="M128">
            <v>1017462</v>
          </cell>
          <cell r="N128">
            <v>670693</v>
          </cell>
        </row>
        <row r="129">
          <cell r="B129">
            <v>128</v>
          </cell>
          <cell r="D129" t="str">
            <v>Panama</v>
          </cell>
          <cell r="F129" t="str">
            <v>North America</v>
          </cell>
          <cell r="G129">
            <v>4408581</v>
          </cell>
          <cell r="H129">
            <v>4294396</v>
          </cell>
          <cell r="I129">
            <v>3957099</v>
          </cell>
          <cell r="J129">
            <v>3623617</v>
          </cell>
          <cell r="K129">
            <v>3001731</v>
          </cell>
          <cell r="L129">
            <v>2449968</v>
          </cell>
          <cell r="M129">
            <v>1956987</v>
          </cell>
          <cell r="N129">
            <v>1516188</v>
          </cell>
        </row>
        <row r="130">
          <cell r="B130">
            <v>129</v>
          </cell>
          <cell r="D130" t="str">
            <v>Kuwait</v>
          </cell>
          <cell r="F130" t="str">
            <v>Asia</v>
          </cell>
          <cell r="G130">
            <v>4268873</v>
          </cell>
          <cell r="H130">
            <v>4360444</v>
          </cell>
          <cell r="I130">
            <v>3908743</v>
          </cell>
          <cell r="J130">
            <v>2943356</v>
          </cell>
          <cell r="K130">
            <v>1934901</v>
          </cell>
          <cell r="L130">
            <v>1674938</v>
          </cell>
          <cell r="M130">
            <v>1493870</v>
          </cell>
          <cell r="N130">
            <v>802786</v>
          </cell>
        </row>
        <row r="131">
          <cell r="B131">
            <v>130</v>
          </cell>
          <cell r="D131" t="str">
            <v>Croatia</v>
          </cell>
          <cell r="F131" t="str">
            <v>Europe</v>
          </cell>
          <cell r="G131">
            <v>4030358</v>
          </cell>
          <cell r="H131">
            <v>4096868</v>
          </cell>
          <cell r="I131">
            <v>4254815</v>
          </cell>
          <cell r="J131">
            <v>4368682</v>
          </cell>
          <cell r="K131">
            <v>4548434</v>
          </cell>
          <cell r="L131">
            <v>4873707</v>
          </cell>
          <cell r="M131">
            <v>4680144</v>
          </cell>
          <cell r="N131">
            <v>4492638</v>
          </cell>
        </row>
        <row r="132">
          <cell r="B132">
            <v>131</v>
          </cell>
          <cell r="D132" t="str">
            <v>Georgia</v>
          </cell>
          <cell r="F132" t="str">
            <v>Asia</v>
          </cell>
          <cell r="G132">
            <v>3744385</v>
          </cell>
          <cell r="H132">
            <v>3765912</v>
          </cell>
          <cell r="I132">
            <v>3771132</v>
          </cell>
          <cell r="J132">
            <v>3836831</v>
          </cell>
          <cell r="K132">
            <v>4265172</v>
          </cell>
          <cell r="L132">
            <v>5391636</v>
          </cell>
          <cell r="M132">
            <v>5145843</v>
          </cell>
          <cell r="N132">
            <v>4800426</v>
          </cell>
        </row>
        <row r="133">
          <cell r="B133">
            <v>132</v>
          </cell>
          <cell r="D133" t="str">
            <v>Eritrea</v>
          </cell>
          <cell r="F133" t="str">
            <v>Africa</v>
          </cell>
          <cell r="G133">
            <v>3684032</v>
          </cell>
          <cell r="H133">
            <v>3555868</v>
          </cell>
          <cell r="I133">
            <v>3340006</v>
          </cell>
          <cell r="J133">
            <v>3147727</v>
          </cell>
          <cell r="K133">
            <v>2392880</v>
          </cell>
          <cell r="L133">
            <v>2149960</v>
          </cell>
          <cell r="M133">
            <v>1657982</v>
          </cell>
          <cell r="N133">
            <v>1272748</v>
          </cell>
        </row>
        <row r="134">
          <cell r="B134">
            <v>133</v>
          </cell>
          <cell r="D134" t="str">
            <v>Uruguay</v>
          </cell>
          <cell r="F134" t="str">
            <v>South America</v>
          </cell>
          <cell r="G134">
            <v>3422794</v>
          </cell>
          <cell r="H134">
            <v>3429086</v>
          </cell>
          <cell r="I134">
            <v>3402818</v>
          </cell>
          <cell r="J134">
            <v>3352651</v>
          </cell>
          <cell r="K134">
            <v>3292224</v>
          </cell>
          <cell r="L134">
            <v>3117012</v>
          </cell>
          <cell r="M134">
            <v>2953750</v>
          </cell>
          <cell r="N134">
            <v>2790265</v>
          </cell>
        </row>
        <row r="135">
          <cell r="B135">
            <v>134</v>
          </cell>
          <cell r="D135" t="str">
            <v>Mongolia</v>
          </cell>
          <cell r="F135" t="str">
            <v>Asia</v>
          </cell>
          <cell r="G135">
            <v>3398366</v>
          </cell>
          <cell r="H135">
            <v>3294335</v>
          </cell>
          <cell r="I135">
            <v>2964749</v>
          </cell>
          <cell r="J135">
            <v>2702520</v>
          </cell>
          <cell r="K135">
            <v>2450979</v>
          </cell>
          <cell r="L135">
            <v>2161433</v>
          </cell>
          <cell r="M135">
            <v>1697780</v>
          </cell>
          <cell r="N135">
            <v>1293880</v>
          </cell>
        </row>
        <row r="136">
          <cell r="B136">
            <v>135</v>
          </cell>
          <cell r="D136" t="str">
            <v>Moldova</v>
          </cell>
          <cell r="F136" t="str">
            <v>Europe</v>
          </cell>
          <cell r="G136">
            <v>3272996</v>
          </cell>
          <cell r="H136">
            <v>3084847</v>
          </cell>
          <cell r="I136">
            <v>3277388</v>
          </cell>
          <cell r="J136">
            <v>3678186</v>
          </cell>
          <cell r="K136">
            <v>4251573</v>
          </cell>
          <cell r="L136">
            <v>4480199</v>
          </cell>
          <cell r="M136">
            <v>4103240</v>
          </cell>
          <cell r="N136">
            <v>3711140</v>
          </cell>
        </row>
        <row r="137">
          <cell r="B137">
            <v>136</v>
          </cell>
          <cell r="D137" t="str">
            <v>Puerto Rico</v>
          </cell>
          <cell r="F137" t="str">
            <v>North America</v>
          </cell>
          <cell r="G137">
            <v>3252407</v>
          </cell>
          <cell r="H137">
            <v>3271564</v>
          </cell>
          <cell r="I137">
            <v>3497335</v>
          </cell>
          <cell r="J137">
            <v>3717922</v>
          </cell>
          <cell r="K137">
            <v>3827108</v>
          </cell>
          <cell r="L137">
            <v>3543776</v>
          </cell>
          <cell r="M137">
            <v>3214568</v>
          </cell>
          <cell r="N137">
            <v>2737619</v>
          </cell>
        </row>
        <row r="138">
          <cell r="B138">
            <v>137</v>
          </cell>
          <cell r="D138" t="str">
            <v>Bosnia and Herzegovina</v>
          </cell>
          <cell r="F138" t="str">
            <v>Europe</v>
          </cell>
          <cell r="G138">
            <v>3233526</v>
          </cell>
          <cell r="H138">
            <v>3318407</v>
          </cell>
          <cell r="I138">
            <v>3524324</v>
          </cell>
          <cell r="J138">
            <v>3811088</v>
          </cell>
          <cell r="K138">
            <v>4179350</v>
          </cell>
          <cell r="L138">
            <v>4494310</v>
          </cell>
          <cell r="M138">
            <v>4199820</v>
          </cell>
          <cell r="N138">
            <v>3815561</v>
          </cell>
        </row>
        <row r="139">
          <cell r="B139">
            <v>138</v>
          </cell>
          <cell r="D139" t="str">
            <v>Albania</v>
          </cell>
          <cell r="F139" t="str">
            <v>Europe</v>
          </cell>
          <cell r="G139">
            <v>2842321</v>
          </cell>
          <cell r="H139">
            <v>2866849</v>
          </cell>
          <cell r="I139">
            <v>2882481</v>
          </cell>
          <cell r="J139">
            <v>2913399</v>
          </cell>
          <cell r="K139">
            <v>3182021</v>
          </cell>
          <cell r="L139">
            <v>3295066</v>
          </cell>
          <cell r="M139">
            <v>2941651</v>
          </cell>
          <cell r="N139">
            <v>2324731</v>
          </cell>
        </row>
        <row r="140">
          <cell r="B140">
            <v>139</v>
          </cell>
          <cell r="D140" t="str">
            <v>Jamaica</v>
          </cell>
          <cell r="F140" t="str">
            <v>North America</v>
          </cell>
          <cell r="G140">
            <v>2827377</v>
          </cell>
          <cell r="H140">
            <v>2820436</v>
          </cell>
          <cell r="I140">
            <v>2794445</v>
          </cell>
          <cell r="J140">
            <v>2733896</v>
          </cell>
          <cell r="K140">
            <v>2612205</v>
          </cell>
          <cell r="L140">
            <v>2392030</v>
          </cell>
          <cell r="M140">
            <v>2135546</v>
          </cell>
          <cell r="N140">
            <v>1859091</v>
          </cell>
        </row>
        <row r="141">
          <cell r="B141">
            <v>140</v>
          </cell>
          <cell r="D141" t="str">
            <v>Armenia</v>
          </cell>
          <cell r="F141" t="str">
            <v>Asia</v>
          </cell>
          <cell r="G141">
            <v>2780469</v>
          </cell>
          <cell r="H141">
            <v>2805608</v>
          </cell>
          <cell r="I141">
            <v>2878595</v>
          </cell>
          <cell r="J141">
            <v>2946293</v>
          </cell>
          <cell r="K141">
            <v>3168523</v>
          </cell>
          <cell r="L141">
            <v>3556539</v>
          </cell>
          <cell r="M141">
            <v>3135123</v>
          </cell>
          <cell r="N141">
            <v>2534377</v>
          </cell>
        </row>
        <row r="142">
          <cell r="B142">
            <v>141</v>
          </cell>
          <cell r="D142" t="str">
            <v>Lithuania</v>
          </cell>
          <cell r="F142" t="str">
            <v>Europe</v>
          </cell>
          <cell r="G142">
            <v>2750055</v>
          </cell>
          <cell r="H142">
            <v>2820267</v>
          </cell>
          <cell r="I142">
            <v>2963765</v>
          </cell>
          <cell r="J142">
            <v>3139019</v>
          </cell>
          <cell r="K142">
            <v>3599637</v>
          </cell>
          <cell r="L142">
            <v>3785847</v>
          </cell>
          <cell r="M142">
            <v>3521206</v>
          </cell>
          <cell r="N142">
            <v>3210147</v>
          </cell>
        </row>
        <row r="143">
          <cell r="B143">
            <v>142</v>
          </cell>
          <cell r="D143" t="str">
            <v>Gambia</v>
          </cell>
          <cell r="F143" t="str">
            <v>Africa</v>
          </cell>
          <cell r="G143">
            <v>2705992</v>
          </cell>
          <cell r="H143">
            <v>2573995</v>
          </cell>
          <cell r="I143">
            <v>2253133</v>
          </cell>
          <cell r="J143">
            <v>1937275</v>
          </cell>
          <cell r="K143">
            <v>1437539</v>
          </cell>
          <cell r="L143">
            <v>1040616</v>
          </cell>
          <cell r="M143">
            <v>718586</v>
          </cell>
          <cell r="N143">
            <v>528731</v>
          </cell>
        </row>
        <row r="144">
          <cell r="B144">
            <v>143</v>
          </cell>
          <cell r="D144" t="str">
            <v>Qatar</v>
          </cell>
          <cell r="F144" t="str">
            <v>Asia</v>
          </cell>
          <cell r="G144">
            <v>2695122</v>
          </cell>
          <cell r="H144">
            <v>2760385</v>
          </cell>
          <cell r="I144">
            <v>2414573</v>
          </cell>
          <cell r="J144">
            <v>1713504</v>
          </cell>
          <cell r="K144">
            <v>645937</v>
          </cell>
          <cell r="L144">
            <v>441675</v>
          </cell>
          <cell r="M144">
            <v>277450</v>
          </cell>
          <cell r="N144">
            <v>118007</v>
          </cell>
        </row>
        <row r="145">
          <cell r="B145">
            <v>144</v>
          </cell>
          <cell r="D145" t="str">
            <v>Botswana</v>
          </cell>
          <cell r="F145" t="str">
            <v>Africa</v>
          </cell>
          <cell r="G145">
            <v>2630296</v>
          </cell>
          <cell r="H145">
            <v>2546402</v>
          </cell>
          <cell r="I145">
            <v>2305171</v>
          </cell>
          <cell r="J145">
            <v>2091664</v>
          </cell>
          <cell r="K145">
            <v>1726985</v>
          </cell>
          <cell r="L145">
            <v>1341474</v>
          </cell>
          <cell r="M145">
            <v>938578</v>
          </cell>
          <cell r="N145">
            <v>592244</v>
          </cell>
        </row>
        <row r="146">
          <cell r="B146">
            <v>145</v>
          </cell>
          <cell r="D146" t="str">
            <v>Namibia</v>
          </cell>
          <cell r="F146" t="str">
            <v>Africa</v>
          </cell>
          <cell r="G146">
            <v>2567012</v>
          </cell>
          <cell r="H146">
            <v>2489098</v>
          </cell>
          <cell r="I146">
            <v>2282704</v>
          </cell>
          <cell r="J146">
            <v>2099271</v>
          </cell>
          <cell r="K146">
            <v>1819141</v>
          </cell>
          <cell r="L146">
            <v>1369011</v>
          </cell>
          <cell r="M146">
            <v>975994</v>
          </cell>
          <cell r="N146">
            <v>754467</v>
          </cell>
        </row>
        <row r="147">
          <cell r="B147">
            <v>146</v>
          </cell>
          <cell r="D147" t="str">
            <v>Gabon</v>
          </cell>
          <cell r="F147" t="str">
            <v>Africa</v>
          </cell>
          <cell r="G147">
            <v>2388992</v>
          </cell>
          <cell r="H147">
            <v>2292573</v>
          </cell>
          <cell r="I147">
            <v>2028517</v>
          </cell>
          <cell r="J147">
            <v>1711105</v>
          </cell>
          <cell r="K147">
            <v>1272935</v>
          </cell>
          <cell r="L147">
            <v>983028</v>
          </cell>
          <cell r="M147">
            <v>749078</v>
          </cell>
          <cell r="N147">
            <v>597192</v>
          </cell>
        </row>
        <row r="148">
          <cell r="B148">
            <v>147</v>
          </cell>
          <cell r="D148" t="str">
            <v>Lesotho</v>
          </cell>
          <cell r="F148" t="str">
            <v>Africa</v>
          </cell>
          <cell r="G148">
            <v>2305825</v>
          </cell>
          <cell r="H148">
            <v>2254100</v>
          </cell>
          <cell r="I148">
            <v>2118521</v>
          </cell>
          <cell r="J148">
            <v>2022747</v>
          </cell>
          <cell r="K148">
            <v>1998630</v>
          </cell>
          <cell r="L148">
            <v>1798997</v>
          </cell>
          <cell r="M148">
            <v>1407672</v>
          </cell>
          <cell r="N148">
            <v>1023481</v>
          </cell>
        </row>
        <row r="149">
          <cell r="B149">
            <v>148</v>
          </cell>
          <cell r="D149" t="str">
            <v>Slovenia</v>
          </cell>
          <cell r="F149" t="str">
            <v>Europe</v>
          </cell>
          <cell r="G149">
            <v>2119844</v>
          </cell>
          <cell r="H149">
            <v>2117641</v>
          </cell>
          <cell r="I149">
            <v>2080862</v>
          </cell>
          <cell r="J149">
            <v>2057286</v>
          </cell>
          <cell r="K149">
            <v>1984339</v>
          </cell>
          <cell r="L149">
            <v>1986024</v>
          </cell>
          <cell r="M149">
            <v>1901570</v>
          </cell>
          <cell r="N149">
            <v>1741286</v>
          </cell>
        </row>
        <row r="150">
          <cell r="B150">
            <v>149</v>
          </cell>
          <cell r="D150" t="str">
            <v>Guinea-Bissau</v>
          </cell>
          <cell r="F150" t="str">
            <v>Africa</v>
          </cell>
          <cell r="G150">
            <v>2105566</v>
          </cell>
          <cell r="H150">
            <v>2015828</v>
          </cell>
          <cell r="I150">
            <v>1788919</v>
          </cell>
          <cell r="J150">
            <v>1567220</v>
          </cell>
          <cell r="K150">
            <v>1230849</v>
          </cell>
          <cell r="L150">
            <v>973551</v>
          </cell>
          <cell r="M150">
            <v>831462</v>
          </cell>
          <cell r="N150">
            <v>591663</v>
          </cell>
        </row>
        <row r="151">
          <cell r="B151">
            <v>150</v>
          </cell>
          <cell r="D151" t="str">
            <v>North Macedonia</v>
          </cell>
          <cell r="F151" t="str">
            <v>Europe</v>
          </cell>
          <cell r="G151">
            <v>2093599</v>
          </cell>
          <cell r="H151">
            <v>2111072</v>
          </cell>
          <cell r="I151">
            <v>2107962</v>
          </cell>
          <cell r="J151">
            <v>2093828</v>
          </cell>
          <cell r="K151">
            <v>2037936</v>
          </cell>
          <cell r="L151">
            <v>2044174</v>
          </cell>
          <cell r="M151">
            <v>1907023</v>
          </cell>
          <cell r="N151">
            <v>1656783</v>
          </cell>
        </row>
        <row r="152">
          <cell r="B152">
            <v>151</v>
          </cell>
          <cell r="D152" t="str">
            <v>Latvia</v>
          </cell>
          <cell r="F152" t="str">
            <v>Europe</v>
          </cell>
          <cell r="G152">
            <v>1850651</v>
          </cell>
          <cell r="H152">
            <v>1897052</v>
          </cell>
          <cell r="I152">
            <v>1991955</v>
          </cell>
          <cell r="J152">
            <v>2101530</v>
          </cell>
          <cell r="K152">
            <v>2392530</v>
          </cell>
          <cell r="L152">
            <v>2689391</v>
          </cell>
          <cell r="M152">
            <v>2572037</v>
          </cell>
          <cell r="N152">
            <v>2397414</v>
          </cell>
        </row>
        <row r="153">
          <cell r="B153">
            <v>152</v>
          </cell>
          <cell r="D153" t="str">
            <v>Equatorial Guinea</v>
          </cell>
          <cell r="F153" t="str">
            <v>Africa</v>
          </cell>
          <cell r="G153">
            <v>1674908</v>
          </cell>
          <cell r="H153">
            <v>1596049</v>
          </cell>
          <cell r="I153">
            <v>1346973</v>
          </cell>
          <cell r="J153">
            <v>1094524</v>
          </cell>
          <cell r="K153">
            <v>684977</v>
          </cell>
          <cell r="L153">
            <v>465549</v>
          </cell>
          <cell r="M153">
            <v>282509</v>
          </cell>
          <cell r="N153">
            <v>316955</v>
          </cell>
        </row>
        <row r="154">
          <cell r="B154">
            <v>153</v>
          </cell>
          <cell r="D154" t="str">
            <v>Trinidad and Tobago</v>
          </cell>
          <cell r="F154" t="str">
            <v>North America</v>
          </cell>
          <cell r="G154">
            <v>1531044</v>
          </cell>
          <cell r="H154">
            <v>1518147</v>
          </cell>
          <cell r="I154">
            <v>1460177</v>
          </cell>
          <cell r="J154">
            <v>1410296</v>
          </cell>
          <cell r="K154">
            <v>1332203</v>
          </cell>
          <cell r="L154">
            <v>1266518</v>
          </cell>
          <cell r="M154">
            <v>1127852</v>
          </cell>
          <cell r="N154">
            <v>988890</v>
          </cell>
        </row>
        <row r="155">
          <cell r="B155">
            <v>154</v>
          </cell>
          <cell r="D155" t="str">
            <v>Bahrain</v>
          </cell>
          <cell r="F155" t="str">
            <v>Asia</v>
          </cell>
          <cell r="G155">
            <v>1472233</v>
          </cell>
          <cell r="H155">
            <v>1477469</v>
          </cell>
          <cell r="I155">
            <v>1362142</v>
          </cell>
          <cell r="J155">
            <v>1213645</v>
          </cell>
          <cell r="K155">
            <v>711442</v>
          </cell>
          <cell r="L155">
            <v>517418</v>
          </cell>
          <cell r="M155">
            <v>362595</v>
          </cell>
          <cell r="N155">
            <v>222555</v>
          </cell>
        </row>
        <row r="156">
          <cell r="B156">
            <v>155</v>
          </cell>
          <cell r="D156" t="str">
            <v>Timor-Leste</v>
          </cell>
          <cell r="F156" t="str">
            <v>Asia</v>
          </cell>
          <cell r="G156">
            <v>1341296</v>
          </cell>
          <cell r="H156">
            <v>1299995</v>
          </cell>
          <cell r="I156">
            <v>1205813</v>
          </cell>
          <cell r="J156">
            <v>1088486</v>
          </cell>
          <cell r="K156">
            <v>878360</v>
          </cell>
          <cell r="L156">
            <v>758106</v>
          </cell>
          <cell r="M156">
            <v>642224</v>
          </cell>
          <cell r="N156">
            <v>554021</v>
          </cell>
        </row>
        <row r="157">
          <cell r="B157">
            <v>156</v>
          </cell>
          <cell r="D157" t="str">
            <v>Estonia</v>
          </cell>
          <cell r="F157" t="str">
            <v>Europe</v>
          </cell>
          <cell r="G157">
            <v>1326062</v>
          </cell>
          <cell r="H157">
            <v>1329444</v>
          </cell>
          <cell r="I157">
            <v>1314657</v>
          </cell>
          <cell r="J157">
            <v>1331535</v>
          </cell>
          <cell r="K157">
            <v>1396877</v>
          </cell>
          <cell r="L157">
            <v>1570674</v>
          </cell>
          <cell r="M157">
            <v>1476983</v>
          </cell>
          <cell r="N157">
            <v>1361999</v>
          </cell>
        </row>
        <row r="158">
          <cell r="B158">
            <v>157</v>
          </cell>
          <cell r="D158" t="str">
            <v>Mauritius</v>
          </cell>
          <cell r="F158" t="str">
            <v>Africa</v>
          </cell>
          <cell r="G158">
            <v>1299469</v>
          </cell>
          <cell r="H158">
            <v>1297828</v>
          </cell>
          <cell r="I158">
            <v>1293153</v>
          </cell>
          <cell r="J158">
            <v>1283330</v>
          </cell>
          <cell r="K158">
            <v>1215930</v>
          </cell>
          <cell r="L158">
            <v>1090290</v>
          </cell>
          <cell r="M158">
            <v>954865</v>
          </cell>
          <cell r="N158">
            <v>830115</v>
          </cell>
        </row>
        <row r="159">
          <cell r="B159">
            <v>158</v>
          </cell>
          <cell r="D159" t="str">
            <v>Cyprus</v>
          </cell>
          <cell r="F159" t="str">
            <v>Europe</v>
          </cell>
          <cell r="G159">
            <v>1251488</v>
          </cell>
          <cell r="H159">
            <v>1237537</v>
          </cell>
          <cell r="I159">
            <v>1187280</v>
          </cell>
          <cell r="J159">
            <v>1129686</v>
          </cell>
          <cell r="K159">
            <v>948237</v>
          </cell>
          <cell r="L159">
            <v>788500</v>
          </cell>
          <cell r="M159">
            <v>679327</v>
          </cell>
          <cell r="N159">
            <v>640804</v>
          </cell>
        </row>
        <row r="160">
          <cell r="B160">
            <v>159</v>
          </cell>
          <cell r="D160" t="str">
            <v>Eswatini</v>
          </cell>
          <cell r="F160" t="str">
            <v>Africa</v>
          </cell>
          <cell r="G160">
            <v>1201670</v>
          </cell>
          <cell r="H160">
            <v>1180655</v>
          </cell>
          <cell r="I160">
            <v>1133936</v>
          </cell>
          <cell r="J160">
            <v>1099920</v>
          </cell>
          <cell r="K160">
            <v>1030496</v>
          </cell>
          <cell r="L160">
            <v>854011</v>
          </cell>
          <cell r="M160">
            <v>598564</v>
          </cell>
          <cell r="N160">
            <v>442865</v>
          </cell>
        </row>
        <row r="161">
          <cell r="B161">
            <v>160</v>
          </cell>
          <cell r="D161" t="str">
            <v>Djibouti</v>
          </cell>
          <cell r="F161" t="str">
            <v>Africa</v>
          </cell>
          <cell r="G161">
            <v>1120849</v>
          </cell>
          <cell r="H161">
            <v>1090156</v>
          </cell>
          <cell r="I161">
            <v>1006259</v>
          </cell>
          <cell r="J161">
            <v>919199</v>
          </cell>
          <cell r="K161">
            <v>742033</v>
          </cell>
          <cell r="L161">
            <v>577173</v>
          </cell>
          <cell r="M161">
            <v>324121</v>
          </cell>
          <cell r="N161">
            <v>144379</v>
          </cell>
        </row>
        <row r="162">
          <cell r="B162">
            <v>161</v>
          </cell>
          <cell r="D162" t="str">
            <v>Reunion</v>
          </cell>
          <cell r="F162" t="str">
            <v>Africa</v>
          </cell>
          <cell r="G162">
            <v>974052</v>
          </cell>
          <cell r="H162">
            <v>957822</v>
          </cell>
          <cell r="I162">
            <v>922495</v>
          </cell>
          <cell r="J162">
            <v>890130</v>
          </cell>
          <cell r="K162">
            <v>785424</v>
          </cell>
          <cell r="L162">
            <v>658992</v>
          </cell>
          <cell r="M162">
            <v>551674</v>
          </cell>
          <cell r="N162">
            <v>473925</v>
          </cell>
        </row>
        <row r="163">
          <cell r="B163">
            <v>162</v>
          </cell>
          <cell r="D163" t="str">
            <v>Fiji</v>
          </cell>
          <cell r="F163" t="str">
            <v>Oceania</v>
          </cell>
          <cell r="G163">
            <v>929766</v>
          </cell>
          <cell r="H163">
            <v>920422</v>
          </cell>
          <cell r="I163">
            <v>917200</v>
          </cell>
          <cell r="J163">
            <v>905169</v>
          </cell>
          <cell r="K163">
            <v>832509</v>
          </cell>
          <cell r="L163">
            <v>780430</v>
          </cell>
          <cell r="M163">
            <v>644582</v>
          </cell>
          <cell r="N163">
            <v>527634</v>
          </cell>
        </row>
        <row r="164">
          <cell r="B164">
            <v>163</v>
          </cell>
          <cell r="D164" t="str">
            <v>Comoros</v>
          </cell>
          <cell r="F164" t="str">
            <v>Africa</v>
          </cell>
          <cell r="G164">
            <v>836774</v>
          </cell>
          <cell r="H164">
            <v>806166</v>
          </cell>
          <cell r="I164">
            <v>730216</v>
          </cell>
          <cell r="J164">
            <v>656024</v>
          </cell>
          <cell r="K164">
            <v>536758</v>
          </cell>
          <cell r="L164">
            <v>431119</v>
          </cell>
          <cell r="M164">
            <v>328328</v>
          </cell>
          <cell r="N164">
            <v>242351</v>
          </cell>
        </row>
        <row r="165">
          <cell r="B165">
            <v>164</v>
          </cell>
          <cell r="D165" t="str">
            <v>Guyana</v>
          </cell>
          <cell r="F165" t="str">
            <v>South America</v>
          </cell>
          <cell r="G165">
            <v>808726</v>
          </cell>
          <cell r="H165">
            <v>797202</v>
          </cell>
          <cell r="I165">
            <v>755031</v>
          </cell>
          <cell r="J165">
            <v>747932</v>
          </cell>
          <cell r="K165">
            <v>759051</v>
          </cell>
          <cell r="L165">
            <v>747116</v>
          </cell>
          <cell r="M165">
            <v>778176</v>
          </cell>
          <cell r="N165">
            <v>705261</v>
          </cell>
        </row>
        <row r="166">
          <cell r="B166">
            <v>165</v>
          </cell>
          <cell r="D166" t="str">
            <v>Bhutan</v>
          </cell>
          <cell r="F166" t="str">
            <v>Asia</v>
          </cell>
          <cell r="G166">
            <v>782455</v>
          </cell>
          <cell r="H166">
            <v>772506</v>
          </cell>
          <cell r="I166">
            <v>743274</v>
          </cell>
          <cell r="J166">
            <v>705516</v>
          </cell>
          <cell r="K166">
            <v>587207</v>
          </cell>
          <cell r="L166">
            <v>558442</v>
          </cell>
          <cell r="M166">
            <v>415257</v>
          </cell>
          <cell r="N166">
            <v>298894</v>
          </cell>
        </row>
        <row r="167">
          <cell r="B167">
            <v>166</v>
          </cell>
          <cell r="D167" t="str">
            <v>Solomon Islands</v>
          </cell>
          <cell r="F167" t="str">
            <v>Oceania</v>
          </cell>
          <cell r="G167">
            <v>724273</v>
          </cell>
          <cell r="H167">
            <v>691191</v>
          </cell>
          <cell r="I167">
            <v>612660</v>
          </cell>
          <cell r="J167">
            <v>540394</v>
          </cell>
          <cell r="K167">
            <v>429978</v>
          </cell>
          <cell r="L167">
            <v>324171</v>
          </cell>
          <cell r="M167">
            <v>233668</v>
          </cell>
          <cell r="N167">
            <v>172833</v>
          </cell>
        </row>
        <row r="168">
          <cell r="B168">
            <v>167</v>
          </cell>
          <cell r="D168" t="str">
            <v>Macau</v>
          </cell>
          <cell r="F168" t="str">
            <v>Asia</v>
          </cell>
          <cell r="G168">
            <v>695168</v>
          </cell>
          <cell r="H168">
            <v>676283</v>
          </cell>
          <cell r="I168">
            <v>615239</v>
          </cell>
          <cell r="J168">
            <v>557297</v>
          </cell>
          <cell r="K168">
            <v>431896</v>
          </cell>
          <cell r="L168">
            <v>350227</v>
          </cell>
          <cell r="M168">
            <v>245332</v>
          </cell>
          <cell r="N168">
            <v>247284</v>
          </cell>
        </row>
        <row r="169">
          <cell r="B169">
            <v>168</v>
          </cell>
          <cell r="D169" t="str">
            <v>Luxembourg</v>
          </cell>
          <cell r="F169" t="str">
            <v>Europe</v>
          </cell>
          <cell r="G169">
            <v>647599</v>
          </cell>
          <cell r="H169">
            <v>630399</v>
          </cell>
          <cell r="I169">
            <v>569408</v>
          </cell>
          <cell r="J169">
            <v>507070</v>
          </cell>
          <cell r="K169">
            <v>435628</v>
          </cell>
          <cell r="L169">
            <v>381267</v>
          </cell>
          <cell r="M169">
            <v>363741</v>
          </cell>
          <cell r="N169">
            <v>339342</v>
          </cell>
        </row>
        <row r="170">
          <cell r="B170">
            <v>169</v>
          </cell>
          <cell r="D170" t="str">
            <v>Montenegro</v>
          </cell>
          <cell r="F170" t="str">
            <v>Europe</v>
          </cell>
          <cell r="G170">
            <v>627082</v>
          </cell>
          <cell r="H170">
            <v>629048</v>
          </cell>
          <cell r="I170">
            <v>633966</v>
          </cell>
          <cell r="J170">
            <v>631044</v>
          </cell>
          <cell r="K170">
            <v>633324</v>
          </cell>
          <cell r="L170">
            <v>621442</v>
          </cell>
          <cell r="M170">
            <v>589324</v>
          </cell>
          <cell r="N170">
            <v>530268</v>
          </cell>
        </row>
        <row r="171">
          <cell r="B171">
            <v>170</v>
          </cell>
          <cell r="D171" t="str">
            <v>Suriname</v>
          </cell>
          <cell r="F171" t="str">
            <v>South America</v>
          </cell>
          <cell r="G171">
            <v>618040</v>
          </cell>
          <cell r="H171">
            <v>607065</v>
          </cell>
          <cell r="I171">
            <v>575475</v>
          </cell>
          <cell r="J171">
            <v>546080</v>
          </cell>
          <cell r="K171">
            <v>478998</v>
          </cell>
          <cell r="L171">
            <v>412756</v>
          </cell>
          <cell r="M171">
            <v>375112</v>
          </cell>
          <cell r="N171">
            <v>379918</v>
          </cell>
        </row>
        <row r="172">
          <cell r="B172">
            <v>171</v>
          </cell>
          <cell r="D172" t="str">
            <v>Cape Verde</v>
          </cell>
          <cell r="F172" t="str">
            <v>Africa</v>
          </cell>
          <cell r="G172">
            <v>593149</v>
          </cell>
          <cell r="H172">
            <v>582640</v>
          </cell>
          <cell r="I172">
            <v>552166</v>
          </cell>
          <cell r="J172">
            <v>521212</v>
          </cell>
          <cell r="K172">
            <v>458251</v>
          </cell>
          <cell r="L172">
            <v>364563</v>
          </cell>
          <cell r="M172">
            <v>317234</v>
          </cell>
          <cell r="N172">
            <v>287262</v>
          </cell>
        </row>
        <row r="173">
          <cell r="B173">
            <v>172</v>
          </cell>
          <cell r="D173" t="str">
            <v>Western Sahara</v>
          </cell>
          <cell r="F173" t="str">
            <v>Africa</v>
          </cell>
          <cell r="G173">
            <v>575986</v>
          </cell>
          <cell r="H173">
            <v>556048</v>
          </cell>
          <cell r="I173">
            <v>491824</v>
          </cell>
          <cell r="J173">
            <v>413296</v>
          </cell>
          <cell r="K173">
            <v>270375</v>
          </cell>
          <cell r="L173">
            <v>178529</v>
          </cell>
          <cell r="M173">
            <v>116775</v>
          </cell>
          <cell r="N173">
            <v>76371</v>
          </cell>
        </row>
        <row r="174">
          <cell r="B174">
            <v>173</v>
          </cell>
          <cell r="D174" t="str">
            <v>Malta</v>
          </cell>
          <cell r="F174" t="str">
            <v>Europe</v>
          </cell>
          <cell r="G174">
            <v>533286</v>
          </cell>
          <cell r="H174">
            <v>515357</v>
          </cell>
          <cell r="I174">
            <v>456579</v>
          </cell>
          <cell r="J174">
            <v>418755</v>
          </cell>
          <cell r="K174">
            <v>399212</v>
          </cell>
          <cell r="L174">
            <v>365392</v>
          </cell>
          <cell r="M174">
            <v>333587</v>
          </cell>
          <cell r="N174">
            <v>315414</v>
          </cell>
        </row>
        <row r="175">
          <cell r="B175">
            <v>174</v>
          </cell>
          <cell r="D175" t="str">
            <v>Maldives</v>
          </cell>
          <cell r="F175" t="str">
            <v>Asia</v>
          </cell>
          <cell r="G175">
            <v>523787</v>
          </cell>
          <cell r="H175">
            <v>514438</v>
          </cell>
          <cell r="I175">
            <v>435582</v>
          </cell>
          <cell r="J175">
            <v>361575</v>
          </cell>
          <cell r="K175">
            <v>282507</v>
          </cell>
          <cell r="L175">
            <v>224957</v>
          </cell>
          <cell r="M175">
            <v>164887</v>
          </cell>
          <cell r="N175">
            <v>123243</v>
          </cell>
        </row>
        <row r="176">
          <cell r="B176">
            <v>175</v>
          </cell>
          <cell r="D176" t="str">
            <v>Brunei</v>
          </cell>
          <cell r="F176" t="str">
            <v>Asia</v>
          </cell>
          <cell r="G176">
            <v>449002</v>
          </cell>
          <cell r="H176">
            <v>441725</v>
          </cell>
          <cell r="I176">
            <v>421437</v>
          </cell>
          <cell r="J176">
            <v>396053</v>
          </cell>
          <cell r="K176">
            <v>333926</v>
          </cell>
          <cell r="L176">
            <v>261928</v>
          </cell>
          <cell r="M176">
            <v>187921</v>
          </cell>
          <cell r="N176">
            <v>133343</v>
          </cell>
        </row>
        <row r="177">
          <cell r="B177">
            <v>176</v>
          </cell>
          <cell r="D177" t="str">
            <v>Bahamas</v>
          </cell>
          <cell r="F177" t="str">
            <v>North America</v>
          </cell>
          <cell r="G177">
            <v>409984</v>
          </cell>
          <cell r="H177">
            <v>406471</v>
          </cell>
          <cell r="I177">
            <v>392697</v>
          </cell>
          <cell r="J177">
            <v>373272</v>
          </cell>
          <cell r="K177">
            <v>325014</v>
          </cell>
          <cell r="L177">
            <v>270679</v>
          </cell>
          <cell r="M177">
            <v>223752</v>
          </cell>
          <cell r="N177">
            <v>179129</v>
          </cell>
        </row>
        <row r="178">
          <cell r="B178">
            <v>177</v>
          </cell>
          <cell r="D178" t="str">
            <v>Belize</v>
          </cell>
          <cell r="F178" t="str">
            <v>North America</v>
          </cell>
          <cell r="G178">
            <v>405272</v>
          </cell>
          <cell r="H178">
            <v>394921</v>
          </cell>
          <cell r="I178">
            <v>359871</v>
          </cell>
          <cell r="J178">
            <v>322106</v>
          </cell>
          <cell r="K178">
            <v>240406</v>
          </cell>
          <cell r="L178">
            <v>182589</v>
          </cell>
          <cell r="M178">
            <v>145133</v>
          </cell>
          <cell r="N178">
            <v>120905</v>
          </cell>
        </row>
        <row r="179">
          <cell r="B179">
            <v>178</v>
          </cell>
          <cell r="D179" t="str">
            <v>Guadeloupe</v>
          </cell>
          <cell r="F179" t="str">
            <v>North America</v>
          </cell>
          <cell r="G179">
            <v>395752</v>
          </cell>
          <cell r="H179">
            <v>395642</v>
          </cell>
          <cell r="I179">
            <v>399089</v>
          </cell>
          <cell r="J179">
            <v>403072</v>
          </cell>
          <cell r="K179">
            <v>424067</v>
          </cell>
          <cell r="L179">
            <v>391951</v>
          </cell>
          <cell r="M179">
            <v>334234</v>
          </cell>
          <cell r="N179">
            <v>318310</v>
          </cell>
        </row>
        <row r="180">
          <cell r="B180">
            <v>179</v>
          </cell>
          <cell r="D180" t="str">
            <v>Iceland</v>
          </cell>
          <cell r="F180" t="str">
            <v>Europe</v>
          </cell>
          <cell r="G180">
            <v>372899</v>
          </cell>
          <cell r="H180">
            <v>366669</v>
          </cell>
          <cell r="I180">
            <v>331060</v>
          </cell>
          <cell r="J180">
            <v>318333</v>
          </cell>
          <cell r="K180">
            <v>281462</v>
          </cell>
          <cell r="L180">
            <v>255019</v>
          </cell>
          <cell r="M180">
            <v>228263</v>
          </cell>
          <cell r="N180">
            <v>204468</v>
          </cell>
        </row>
        <row r="181">
          <cell r="B181">
            <v>180</v>
          </cell>
          <cell r="D181" t="str">
            <v>Martinique</v>
          </cell>
          <cell r="F181" t="str">
            <v>North America</v>
          </cell>
          <cell r="G181">
            <v>367507</v>
          </cell>
          <cell r="H181">
            <v>370391</v>
          </cell>
          <cell r="I181">
            <v>383515</v>
          </cell>
          <cell r="J181">
            <v>392181</v>
          </cell>
          <cell r="K181">
            <v>432543</v>
          </cell>
          <cell r="L181">
            <v>374271</v>
          </cell>
          <cell r="M181">
            <v>333786</v>
          </cell>
          <cell r="N181">
            <v>326428</v>
          </cell>
        </row>
        <row r="182">
          <cell r="B182">
            <v>181</v>
          </cell>
          <cell r="D182" t="str">
            <v>Vanuatu</v>
          </cell>
          <cell r="F182" t="str">
            <v>Oceania</v>
          </cell>
          <cell r="G182">
            <v>326740</v>
          </cell>
          <cell r="H182">
            <v>311685</v>
          </cell>
          <cell r="I182">
            <v>276438</v>
          </cell>
          <cell r="J182">
            <v>245453</v>
          </cell>
          <cell r="K182">
            <v>192074</v>
          </cell>
          <cell r="L182">
            <v>150882</v>
          </cell>
          <cell r="M182">
            <v>118156</v>
          </cell>
          <cell r="N182">
            <v>87019</v>
          </cell>
        </row>
        <row r="183">
          <cell r="B183">
            <v>182</v>
          </cell>
          <cell r="D183" t="str">
            <v>Mayotte</v>
          </cell>
          <cell r="F183" t="str">
            <v>Africa</v>
          </cell>
          <cell r="G183">
            <v>326101</v>
          </cell>
          <cell r="H183">
            <v>305587</v>
          </cell>
          <cell r="I183">
            <v>249545</v>
          </cell>
          <cell r="J183">
            <v>211786</v>
          </cell>
          <cell r="K183">
            <v>159215</v>
          </cell>
          <cell r="L183">
            <v>92659</v>
          </cell>
          <cell r="M183">
            <v>52233</v>
          </cell>
          <cell r="N183">
            <v>35383</v>
          </cell>
        </row>
        <row r="184">
          <cell r="B184">
            <v>183</v>
          </cell>
          <cell r="D184" t="str">
            <v>French Polynesia</v>
          </cell>
          <cell r="F184" t="str">
            <v>Oceania</v>
          </cell>
          <cell r="G184">
            <v>306279</v>
          </cell>
          <cell r="H184">
            <v>301920</v>
          </cell>
          <cell r="I184">
            <v>291787</v>
          </cell>
          <cell r="J184">
            <v>283788</v>
          </cell>
          <cell r="K184">
            <v>250927</v>
          </cell>
          <cell r="L184">
            <v>211089</v>
          </cell>
          <cell r="M184">
            <v>163591</v>
          </cell>
          <cell r="N184">
            <v>117891</v>
          </cell>
        </row>
        <row r="185">
          <cell r="B185">
            <v>184</v>
          </cell>
          <cell r="D185" t="str">
            <v>French Guiana</v>
          </cell>
          <cell r="F185" t="str">
            <v>South America</v>
          </cell>
          <cell r="G185">
            <v>304557</v>
          </cell>
          <cell r="H185">
            <v>290969</v>
          </cell>
          <cell r="I185">
            <v>257026</v>
          </cell>
          <cell r="J185">
            <v>228453</v>
          </cell>
          <cell r="K185">
            <v>164351</v>
          </cell>
          <cell r="L185">
            <v>113931</v>
          </cell>
          <cell r="M185">
            <v>66825</v>
          </cell>
          <cell r="N185">
            <v>46484</v>
          </cell>
        </row>
        <row r="186">
          <cell r="B186">
            <v>185</v>
          </cell>
          <cell r="D186" t="str">
            <v>New Caledonia</v>
          </cell>
          <cell r="F186" t="str">
            <v>Oceania</v>
          </cell>
          <cell r="G186">
            <v>289950</v>
          </cell>
          <cell r="H186">
            <v>286403</v>
          </cell>
          <cell r="I186">
            <v>283032</v>
          </cell>
          <cell r="J186">
            <v>261426</v>
          </cell>
          <cell r="K186">
            <v>221537</v>
          </cell>
          <cell r="L186">
            <v>177264</v>
          </cell>
          <cell r="M186">
            <v>148599</v>
          </cell>
          <cell r="N186">
            <v>110982</v>
          </cell>
        </row>
        <row r="187">
          <cell r="B187">
            <v>186</v>
          </cell>
          <cell r="D187" t="str">
            <v>Barbados</v>
          </cell>
          <cell r="F187" t="str">
            <v>North America</v>
          </cell>
          <cell r="G187">
            <v>281635</v>
          </cell>
          <cell r="H187">
            <v>280693</v>
          </cell>
          <cell r="I187">
            <v>278083</v>
          </cell>
          <cell r="J187">
            <v>274711</v>
          </cell>
          <cell r="K187">
            <v>264657</v>
          </cell>
          <cell r="L187">
            <v>258868</v>
          </cell>
          <cell r="M187">
            <v>253575</v>
          </cell>
          <cell r="N187">
            <v>241397</v>
          </cell>
        </row>
        <row r="188">
          <cell r="B188">
            <v>187</v>
          </cell>
          <cell r="D188" t="str">
            <v>Sao Tome and Principe</v>
          </cell>
          <cell r="F188" t="str">
            <v>Africa</v>
          </cell>
          <cell r="G188">
            <v>227380</v>
          </cell>
          <cell r="H188">
            <v>218641</v>
          </cell>
          <cell r="I188">
            <v>201124</v>
          </cell>
          <cell r="J188">
            <v>182138</v>
          </cell>
          <cell r="K188">
            <v>143714</v>
          </cell>
          <cell r="L188">
            <v>120343</v>
          </cell>
          <cell r="M188">
            <v>97210</v>
          </cell>
          <cell r="N188">
            <v>77583</v>
          </cell>
        </row>
        <row r="189">
          <cell r="B189">
            <v>188</v>
          </cell>
          <cell r="D189" t="str">
            <v>Samoa</v>
          </cell>
          <cell r="F189" t="str">
            <v>Oceania</v>
          </cell>
          <cell r="G189">
            <v>222382</v>
          </cell>
          <cell r="H189">
            <v>214929</v>
          </cell>
          <cell r="I189">
            <v>203571</v>
          </cell>
          <cell r="J189">
            <v>194672</v>
          </cell>
          <cell r="K189">
            <v>184008</v>
          </cell>
          <cell r="L189">
            <v>168186</v>
          </cell>
          <cell r="M189">
            <v>164905</v>
          </cell>
          <cell r="N189">
            <v>142771</v>
          </cell>
        </row>
        <row r="190">
          <cell r="B190">
            <v>189</v>
          </cell>
          <cell r="D190" t="str">
            <v>Curacao</v>
          </cell>
          <cell r="F190" t="str">
            <v>North America</v>
          </cell>
          <cell r="G190">
            <v>191163</v>
          </cell>
          <cell r="H190">
            <v>189288</v>
          </cell>
          <cell r="I190">
            <v>169572</v>
          </cell>
          <cell r="J190">
            <v>159380</v>
          </cell>
          <cell r="K190">
            <v>141424</v>
          </cell>
          <cell r="L190">
            <v>155446</v>
          </cell>
          <cell r="M190">
            <v>156851</v>
          </cell>
          <cell r="N190">
            <v>150385</v>
          </cell>
        </row>
        <row r="191">
          <cell r="B191">
            <v>190</v>
          </cell>
          <cell r="D191" t="str">
            <v>Saint Lucia</v>
          </cell>
          <cell r="F191" t="str">
            <v>North America</v>
          </cell>
          <cell r="G191">
            <v>179857</v>
          </cell>
          <cell r="H191">
            <v>179237</v>
          </cell>
          <cell r="I191">
            <v>175623</v>
          </cell>
          <cell r="J191">
            <v>170935</v>
          </cell>
          <cell r="K191">
            <v>159500</v>
          </cell>
          <cell r="L191">
            <v>142301</v>
          </cell>
          <cell r="M191">
            <v>121633</v>
          </cell>
          <cell r="N191">
            <v>103090</v>
          </cell>
        </row>
        <row r="192">
          <cell r="B192">
            <v>191</v>
          </cell>
          <cell r="D192" t="str">
            <v>Guam</v>
          </cell>
          <cell r="F192" t="str">
            <v>Oceania</v>
          </cell>
          <cell r="G192">
            <v>171774</v>
          </cell>
          <cell r="H192">
            <v>169231</v>
          </cell>
          <cell r="I192">
            <v>167978</v>
          </cell>
          <cell r="J192">
            <v>164905</v>
          </cell>
          <cell r="K192">
            <v>160188</v>
          </cell>
          <cell r="L192">
            <v>138263</v>
          </cell>
          <cell r="M192">
            <v>110286</v>
          </cell>
          <cell r="N192">
            <v>88300</v>
          </cell>
        </row>
        <row r="193">
          <cell r="B193">
            <v>192</v>
          </cell>
          <cell r="D193" t="str">
            <v>Kiribati</v>
          </cell>
          <cell r="F193" t="str">
            <v>Oceania</v>
          </cell>
          <cell r="G193">
            <v>131232</v>
          </cell>
          <cell r="H193">
            <v>126463</v>
          </cell>
          <cell r="I193">
            <v>116707</v>
          </cell>
          <cell r="J193">
            <v>107995</v>
          </cell>
          <cell r="K193">
            <v>88826</v>
          </cell>
          <cell r="L193">
            <v>75124</v>
          </cell>
          <cell r="M193">
            <v>60813</v>
          </cell>
          <cell r="N193">
            <v>57437</v>
          </cell>
        </row>
        <row r="194">
          <cell r="B194">
            <v>193</v>
          </cell>
          <cell r="D194" t="str">
            <v>Grenada</v>
          </cell>
          <cell r="F194" t="str">
            <v>North America</v>
          </cell>
          <cell r="G194">
            <v>125438</v>
          </cell>
          <cell r="H194">
            <v>123663</v>
          </cell>
          <cell r="I194">
            <v>118980</v>
          </cell>
          <cell r="J194">
            <v>114039</v>
          </cell>
          <cell r="K194">
            <v>107432</v>
          </cell>
          <cell r="L194">
            <v>99047</v>
          </cell>
          <cell r="M194">
            <v>94838</v>
          </cell>
          <cell r="N194">
            <v>98794</v>
          </cell>
        </row>
        <row r="195">
          <cell r="B195">
            <v>194</v>
          </cell>
          <cell r="D195" t="str">
            <v>Micronesia</v>
          </cell>
          <cell r="F195" t="str">
            <v>Oceania</v>
          </cell>
          <cell r="G195">
            <v>114164</v>
          </cell>
          <cell r="H195">
            <v>112106</v>
          </cell>
          <cell r="I195">
            <v>109462</v>
          </cell>
          <cell r="J195">
            <v>107588</v>
          </cell>
          <cell r="K195">
            <v>111709</v>
          </cell>
          <cell r="L195">
            <v>98603</v>
          </cell>
          <cell r="M195">
            <v>76299</v>
          </cell>
          <cell r="N195">
            <v>58989</v>
          </cell>
        </row>
        <row r="196">
          <cell r="B196">
            <v>195</v>
          </cell>
          <cell r="D196" t="str">
            <v>Jersey</v>
          </cell>
          <cell r="F196" t="str">
            <v>Europe</v>
          </cell>
          <cell r="G196">
            <v>110778</v>
          </cell>
          <cell r="H196">
            <v>108319</v>
          </cell>
          <cell r="I196">
            <v>100561</v>
          </cell>
          <cell r="J196">
            <v>96151</v>
          </cell>
          <cell r="K196">
            <v>86192</v>
          </cell>
          <cell r="L196">
            <v>82874</v>
          </cell>
          <cell r="M196">
            <v>75124</v>
          </cell>
          <cell r="N196">
            <v>68347</v>
          </cell>
        </row>
        <row r="197">
          <cell r="B197">
            <v>196</v>
          </cell>
          <cell r="D197" t="str">
            <v>Seychelles</v>
          </cell>
          <cell r="F197" t="str">
            <v>Africa</v>
          </cell>
          <cell r="G197">
            <v>107118</v>
          </cell>
          <cell r="H197">
            <v>105530</v>
          </cell>
          <cell r="I197">
            <v>99240</v>
          </cell>
          <cell r="J197">
            <v>92409</v>
          </cell>
          <cell r="K197">
            <v>80060</v>
          </cell>
          <cell r="L197">
            <v>71057</v>
          </cell>
          <cell r="M197">
            <v>65290</v>
          </cell>
          <cell r="N197">
            <v>54379</v>
          </cell>
        </row>
        <row r="198">
          <cell r="B198">
            <v>197</v>
          </cell>
          <cell r="D198" t="str">
            <v>Tonga</v>
          </cell>
          <cell r="F198" t="str">
            <v>Oceania</v>
          </cell>
          <cell r="G198">
            <v>106858</v>
          </cell>
          <cell r="H198">
            <v>105254</v>
          </cell>
          <cell r="I198">
            <v>106122</v>
          </cell>
          <cell r="J198">
            <v>107383</v>
          </cell>
          <cell r="K198">
            <v>102603</v>
          </cell>
          <cell r="L198">
            <v>98727</v>
          </cell>
          <cell r="M198">
            <v>96708</v>
          </cell>
          <cell r="N198">
            <v>86484</v>
          </cell>
        </row>
        <row r="199">
          <cell r="B199">
            <v>198</v>
          </cell>
          <cell r="D199" t="str">
            <v>Aruba</v>
          </cell>
          <cell r="F199" t="str">
            <v>North America</v>
          </cell>
          <cell r="G199">
            <v>106445</v>
          </cell>
          <cell r="H199">
            <v>106585</v>
          </cell>
          <cell r="I199">
            <v>104257</v>
          </cell>
          <cell r="J199">
            <v>100341</v>
          </cell>
          <cell r="K199">
            <v>89101</v>
          </cell>
          <cell r="L199">
            <v>65712</v>
          </cell>
          <cell r="M199">
            <v>62267</v>
          </cell>
          <cell r="N199">
            <v>59106</v>
          </cell>
        </row>
        <row r="200">
          <cell r="B200">
            <v>199</v>
          </cell>
          <cell r="D200" t="str">
            <v>Saint Vincent and the Grenadines</v>
          </cell>
          <cell r="F200" t="str">
            <v>North America</v>
          </cell>
          <cell r="G200">
            <v>103948</v>
          </cell>
          <cell r="H200">
            <v>104632</v>
          </cell>
          <cell r="I200">
            <v>106482</v>
          </cell>
          <cell r="J200">
            <v>109308</v>
          </cell>
          <cell r="K200">
            <v>113813</v>
          </cell>
          <cell r="L200">
            <v>112487</v>
          </cell>
          <cell r="M200">
            <v>107480</v>
          </cell>
          <cell r="N200">
            <v>98459</v>
          </cell>
        </row>
        <row r="201">
          <cell r="B201">
            <v>200</v>
          </cell>
          <cell r="D201" t="str">
            <v>United States Virgin Islands</v>
          </cell>
          <cell r="F201" t="str">
            <v>North America</v>
          </cell>
          <cell r="G201">
            <v>99465</v>
          </cell>
          <cell r="H201">
            <v>100442</v>
          </cell>
          <cell r="I201">
            <v>102803</v>
          </cell>
          <cell r="J201">
            <v>106142</v>
          </cell>
          <cell r="K201">
            <v>108185</v>
          </cell>
          <cell r="L201">
            <v>100685</v>
          </cell>
          <cell r="M201">
            <v>96640</v>
          </cell>
          <cell r="N201">
            <v>63446</v>
          </cell>
        </row>
        <row r="202">
          <cell r="B202">
            <v>201</v>
          </cell>
          <cell r="D202" t="str">
            <v>Antigua and Barbuda</v>
          </cell>
          <cell r="F202" t="str">
            <v>North America</v>
          </cell>
          <cell r="G202">
            <v>93763</v>
          </cell>
          <cell r="H202">
            <v>92664</v>
          </cell>
          <cell r="I202">
            <v>89941</v>
          </cell>
          <cell r="J202">
            <v>85695</v>
          </cell>
          <cell r="K202">
            <v>75055</v>
          </cell>
          <cell r="L202">
            <v>63328</v>
          </cell>
          <cell r="M202">
            <v>64888</v>
          </cell>
          <cell r="N202">
            <v>64516</v>
          </cell>
        </row>
        <row r="203">
          <cell r="B203">
            <v>202</v>
          </cell>
          <cell r="D203" t="str">
            <v>Isle of Man</v>
          </cell>
          <cell r="F203" t="str">
            <v>Europe</v>
          </cell>
          <cell r="G203">
            <v>84519</v>
          </cell>
          <cell r="H203">
            <v>84046</v>
          </cell>
          <cell r="I203">
            <v>83593</v>
          </cell>
          <cell r="J203">
            <v>83828</v>
          </cell>
          <cell r="K203">
            <v>75562</v>
          </cell>
          <cell r="L203">
            <v>68865</v>
          </cell>
          <cell r="M203">
            <v>64022</v>
          </cell>
          <cell r="N203">
            <v>55298</v>
          </cell>
        </row>
        <row r="204">
          <cell r="B204">
            <v>203</v>
          </cell>
          <cell r="D204" t="str">
            <v>Andorra</v>
          </cell>
          <cell r="F204" t="str">
            <v>Europe</v>
          </cell>
          <cell r="G204">
            <v>79824</v>
          </cell>
          <cell r="H204">
            <v>77700</v>
          </cell>
          <cell r="I204">
            <v>71746</v>
          </cell>
          <cell r="J204">
            <v>71519</v>
          </cell>
          <cell r="K204">
            <v>66097</v>
          </cell>
          <cell r="L204">
            <v>53569</v>
          </cell>
          <cell r="M204">
            <v>35611</v>
          </cell>
          <cell r="N204">
            <v>19860</v>
          </cell>
        </row>
        <row r="205">
          <cell r="B205">
            <v>204</v>
          </cell>
          <cell r="D205" t="str">
            <v>Dominica</v>
          </cell>
          <cell r="F205" t="str">
            <v>North America</v>
          </cell>
          <cell r="G205">
            <v>72737</v>
          </cell>
          <cell r="H205">
            <v>71995</v>
          </cell>
          <cell r="I205">
            <v>70007</v>
          </cell>
          <cell r="J205">
            <v>68755</v>
          </cell>
          <cell r="K205">
            <v>68346</v>
          </cell>
          <cell r="L205">
            <v>69481</v>
          </cell>
          <cell r="M205">
            <v>72978</v>
          </cell>
          <cell r="N205">
            <v>68895</v>
          </cell>
        </row>
        <row r="206">
          <cell r="B206">
            <v>205</v>
          </cell>
          <cell r="D206" t="str">
            <v>Cayman Islands</v>
          </cell>
          <cell r="F206" t="str">
            <v>North America</v>
          </cell>
          <cell r="G206">
            <v>68706</v>
          </cell>
          <cell r="H206">
            <v>67311</v>
          </cell>
          <cell r="I206">
            <v>60911</v>
          </cell>
          <cell r="J206">
            <v>54074</v>
          </cell>
          <cell r="K206">
            <v>39658</v>
          </cell>
          <cell r="L206">
            <v>26027</v>
          </cell>
          <cell r="M206">
            <v>17100</v>
          </cell>
          <cell r="N206">
            <v>10533</v>
          </cell>
        </row>
        <row r="207">
          <cell r="B207">
            <v>206</v>
          </cell>
          <cell r="D207" t="str">
            <v>Bermuda</v>
          </cell>
          <cell r="F207" t="str">
            <v>North America</v>
          </cell>
          <cell r="G207">
            <v>64184</v>
          </cell>
          <cell r="H207">
            <v>64031</v>
          </cell>
          <cell r="I207">
            <v>63144</v>
          </cell>
          <cell r="J207">
            <v>63447</v>
          </cell>
          <cell r="K207">
            <v>61371</v>
          </cell>
          <cell r="L207">
            <v>57470</v>
          </cell>
          <cell r="M207">
            <v>53565</v>
          </cell>
          <cell r="N207">
            <v>52019</v>
          </cell>
        </row>
        <row r="208">
          <cell r="B208">
            <v>207</v>
          </cell>
          <cell r="D208" t="str">
            <v>Guernsey</v>
          </cell>
          <cell r="F208" t="str">
            <v>Europe</v>
          </cell>
          <cell r="G208">
            <v>63301</v>
          </cell>
          <cell r="H208">
            <v>62794</v>
          </cell>
          <cell r="I208">
            <v>61629</v>
          </cell>
          <cell r="J208">
            <v>60782</v>
          </cell>
          <cell r="K208">
            <v>59114</v>
          </cell>
          <cell r="L208">
            <v>57727</v>
          </cell>
          <cell r="M208">
            <v>52860</v>
          </cell>
          <cell r="N208">
            <v>52656</v>
          </cell>
        </row>
        <row r="209">
          <cell r="B209">
            <v>208</v>
          </cell>
          <cell r="D209" t="str">
            <v>Greenland</v>
          </cell>
          <cell r="F209" t="str">
            <v>North America</v>
          </cell>
          <cell r="G209">
            <v>56466</v>
          </cell>
          <cell r="H209">
            <v>56026</v>
          </cell>
          <cell r="I209">
            <v>55895</v>
          </cell>
          <cell r="J209">
            <v>56351</v>
          </cell>
          <cell r="K209">
            <v>56184</v>
          </cell>
          <cell r="L209">
            <v>55599</v>
          </cell>
          <cell r="M209">
            <v>50106</v>
          </cell>
          <cell r="N209">
            <v>45434</v>
          </cell>
        </row>
        <row r="210">
          <cell r="B210">
            <v>209</v>
          </cell>
          <cell r="D210" t="str">
            <v>Faroe Islands</v>
          </cell>
          <cell r="F210" t="str">
            <v>Europe</v>
          </cell>
          <cell r="G210">
            <v>53090</v>
          </cell>
          <cell r="H210">
            <v>52415</v>
          </cell>
          <cell r="I210">
            <v>48816</v>
          </cell>
          <cell r="J210">
            <v>48410</v>
          </cell>
          <cell r="K210">
            <v>45660</v>
          </cell>
          <cell r="L210">
            <v>47479</v>
          </cell>
          <cell r="M210">
            <v>43054</v>
          </cell>
          <cell r="N210">
            <v>38416</v>
          </cell>
        </row>
        <row r="211">
          <cell r="B211">
            <v>210</v>
          </cell>
          <cell r="D211" t="str">
            <v>Northern Mariana Islands</v>
          </cell>
          <cell r="F211" t="str">
            <v>Oceania</v>
          </cell>
          <cell r="G211">
            <v>49551</v>
          </cell>
          <cell r="H211">
            <v>49587</v>
          </cell>
          <cell r="I211">
            <v>51514</v>
          </cell>
          <cell r="J211">
            <v>54087</v>
          </cell>
          <cell r="K211">
            <v>80338</v>
          </cell>
          <cell r="L211">
            <v>48002</v>
          </cell>
          <cell r="M211">
            <v>17613</v>
          </cell>
          <cell r="N211">
            <v>10143</v>
          </cell>
        </row>
        <row r="212">
          <cell r="B212">
            <v>211</v>
          </cell>
          <cell r="D212" t="str">
            <v>Saint Kitts and Nevis</v>
          </cell>
          <cell r="F212" t="str">
            <v>North America</v>
          </cell>
          <cell r="G212">
            <v>47657</v>
          </cell>
          <cell r="H212">
            <v>47642</v>
          </cell>
          <cell r="I212">
            <v>47790</v>
          </cell>
          <cell r="J212">
            <v>47403</v>
          </cell>
          <cell r="K212">
            <v>45461</v>
          </cell>
          <cell r="L212">
            <v>40636</v>
          </cell>
          <cell r="M212">
            <v>43097</v>
          </cell>
          <cell r="N212">
            <v>44968</v>
          </cell>
        </row>
        <row r="213">
          <cell r="B213">
            <v>212</v>
          </cell>
          <cell r="D213" t="str">
            <v>Turks and Caicos Islands</v>
          </cell>
          <cell r="F213" t="str">
            <v>North America</v>
          </cell>
          <cell r="G213">
            <v>45703</v>
          </cell>
          <cell r="H213">
            <v>44276</v>
          </cell>
          <cell r="I213">
            <v>36538</v>
          </cell>
          <cell r="J213">
            <v>29726</v>
          </cell>
          <cell r="K213">
            <v>18744</v>
          </cell>
          <cell r="L213">
            <v>11709</v>
          </cell>
          <cell r="M213">
            <v>7598</v>
          </cell>
          <cell r="N213">
            <v>5665</v>
          </cell>
        </row>
        <row r="214">
          <cell r="B214">
            <v>213</v>
          </cell>
          <cell r="D214" t="str">
            <v>American Samoa</v>
          </cell>
          <cell r="F214" t="str">
            <v>Oceania</v>
          </cell>
          <cell r="G214">
            <v>44273</v>
          </cell>
          <cell r="H214">
            <v>46189</v>
          </cell>
          <cell r="I214">
            <v>51368</v>
          </cell>
          <cell r="J214">
            <v>54849</v>
          </cell>
          <cell r="K214">
            <v>58230</v>
          </cell>
          <cell r="L214">
            <v>47818</v>
          </cell>
          <cell r="M214">
            <v>32886</v>
          </cell>
          <cell r="N214">
            <v>27075</v>
          </cell>
        </row>
        <row r="215">
          <cell r="B215">
            <v>214</v>
          </cell>
          <cell r="D215" t="str">
            <v>Sint Maarten</v>
          </cell>
          <cell r="F215" t="str">
            <v>North America</v>
          </cell>
          <cell r="G215">
            <v>44175</v>
          </cell>
          <cell r="H215">
            <v>43621</v>
          </cell>
          <cell r="I215">
            <v>40205</v>
          </cell>
          <cell r="J215">
            <v>33034</v>
          </cell>
          <cell r="K215">
            <v>30489</v>
          </cell>
          <cell r="L215">
            <v>27845</v>
          </cell>
          <cell r="M215">
            <v>12243</v>
          </cell>
          <cell r="N215">
            <v>6260</v>
          </cell>
        </row>
        <row r="216">
          <cell r="B216">
            <v>215</v>
          </cell>
          <cell r="D216" t="str">
            <v>Marshall Islands</v>
          </cell>
          <cell r="F216" t="str">
            <v>Oceania</v>
          </cell>
          <cell r="G216">
            <v>41569</v>
          </cell>
          <cell r="H216">
            <v>43413</v>
          </cell>
          <cell r="I216">
            <v>49410</v>
          </cell>
          <cell r="J216">
            <v>53416</v>
          </cell>
          <cell r="K216">
            <v>54224</v>
          </cell>
          <cell r="L216">
            <v>46047</v>
          </cell>
          <cell r="M216">
            <v>31988</v>
          </cell>
          <cell r="N216">
            <v>23969</v>
          </cell>
        </row>
        <row r="217">
          <cell r="B217">
            <v>216</v>
          </cell>
          <cell r="D217" t="str">
            <v>Liechtenstein</v>
          </cell>
          <cell r="F217" t="str">
            <v>Europe</v>
          </cell>
          <cell r="G217">
            <v>39327</v>
          </cell>
          <cell r="H217">
            <v>38756</v>
          </cell>
          <cell r="I217">
            <v>37355</v>
          </cell>
          <cell r="J217">
            <v>35926</v>
          </cell>
          <cell r="K217">
            <v>33026</v>
          </cell>
          <cell r="L217">
            <v>28765</v>
          </cell>
          <cell r="M217">
            <v>25003</v>
          </cell>
          <cell r="N217">
            <v>21089</v>
          </cell>
        </row>
        <row r="218">
          <cell r="B218">
            <v>217</v>
          </cell>
          <cell r="D218" t="str">
            <v>Monaco</v>
          </cell>
          <cell r="F218" t="str">
            <v>Europe</v>
          </cell>
          <cell r="G218">
            <v>36469</v>
          </cell>
          <cell r="H218">
            <v>36922</v>
          </cell>
          <cell r="I218">
            <v>36760</v>
          </cell>
          <cell r="J218">
            <v>33178</v>
          </cell>
          <cell r="K218">
            <v>32465</v>
          </cell>
          <cell r="L218">
            <v>30329</v>
          </cell>
          <cell r="M218">
            <v>27076</v>
          </cell>
          <cell r="N218">
            <v>24270</v>
          </cell>
        </row>
        <row r="219">
          <cell r="B219">
            <v>218</v>
          </cell>
          <cell r="D219" t="str">
            <v>San Marino</v>
          </cell>
          <cell r="F219" t="str">
            <v>Europe</v>
          </cell>
          <cell r="G219">
            <v>33660</v>
          </cell>
          <cell r="H219">
            <v>34007</v>
          </cell>
          <cell r="I219">
            <v>33570</v>
          </cell>
          <cell r="J219">
            <v>31608</v>
          </cell>
          <cell r="K219">
            <v>26823</v>
          </cell>
          <cell r="L219">
            <v>23132</v>
          </cell>
          <cell r="M219">
            <v>21346</v>
          </cell>
          <cell r="N219">
            <v>18169</v>
          </cell>
        </row>
        <row r="220">
          <cell r="B220">
            <v>219</v>
          </cell>
          <cell r="D220" t="str">
            <v>Gibraltar</v>
          </cell>
          <cell r="F220" t="str">
            <v>Europe</v>
          </cell>
          <cell r="G220">
            <v>32649</v>
          </cell>
          <cell r="H220">
            <v>32709</v>
          </cell>
          <cell r="I220">
            <v>32520</v>
          </cell>
          <cell r="J220">
            <v>31262</v>
          </cell>
          <cell r="K220">
            <v>27741</v>
          </cell>
          <cell r="L220">
            <v>27317</v>
          </cell>
          <cell r="M220">
            <v>28734</v>
          </cell>
          <cell r="N220">
            <v>26685</v>
          </cell>
        </row>
        <row r="221">
          <cell r="B221">
            <v>220</v>
          </cell>
          <cell r="D221" t="str">
            <v>Saint Martin</v>
          </cell>
          <cell r="F221" t="str">
            <v>North America</v>
          </cell>
          <cell r="G221">
            <v>31791</v>
          </cell>
          <cell r="H221">
            <v>32552</v>
          </cell>
          <cell r="I221">
            <v>35020</v>
          </cell>
          <cell r="J221">
            <v>36458</v>
          </cell>
          <cell r="K221">
            <v>29610</v>
          </cell>
          <cell r="L221">
            <v>28127</v>
          </cell>
          <cell r="M221">
            <v>7776</v>
          </cell>
          <cell r="N221">
            <v>5802</v>
          </cell>
        </row>
        <row r="222">
          <cell r="B222">
            <v>221</v>
          </cell>
          <cell r="D222" t="str">
            <v>British Virgin Islands</v>
          </cell>
          <cell r="F222" t="str">
            <v>North America</v>
          </cell>
          <cell r="G222">
            <v>31305</v>
          </cell>
          <cell r="H222">
            <v>30910</v>
          </cell>
          <cell r="I222">
            <v>29366</v>
          </cell>
          <cell r="J222">
            <v>27556</v>
          </cell>
          <cell r="K222">
            <v>20104</v>
          </cell>
          <cell r="L222">
            <v>15617</v>
          </cell>
          <cell r="M222">
            <v>11109</v>
          </cell>
          <cell r="N222">
            <v>9581</v>
          </cell>
        </row>
        <row r="223">
          <cell r="B223">
            <v>222</v>
          </cell>
          <cell r="D223" t="str">
            <v>Palau</v>
          </cell>
          <cell r="F223" t="str">
            <v>Oceania</v>
          </cell>
          <cell r="G223">
            <v>18055</v>
          </cell>
          <cell r="H223">
            <v>17972</v>
          </cell>
          <cell r="I223">
            <v>17794</v>
          </cell>
          <cell r="J223">
            <v>18540</v>
          </cell>
          <cell r="K223">
            <v>19726</v>
          </cell>
          <cell r="L223">
            <v>15293</v>
          </cell>
          <cell r="M223">
            <v>12252</v>
          </cell>
          <cell r="N223">
            <v>11366</v>
          </cell>
        </row>
        <row r="224">
          <cell r="B224">
            <v>223</v>
          </cell>
          <cell r="D224" t="str">
            <v>Cook Islands</v>
          </cell>
          <cell r="F224" t="str">
            <v>Oceania</v>
          </cell>
          <cell r="G224">
            <v>17011</v>
          </cell>
          <cell r="H224">
            <v>17029</v>
          </cell>
          <cell r="I224">
            <v>17695</v>
          </cell>
          <cell r="J224">
            <v>17212</v>
          </cell>
          <cell r="K224">
            <v>15897</v>
          </cell>
          <cell r="L224">
            <v>17123</v>
          </cell>
          <cell r="M224">
            <v>17651</v>
          </cell>
          <cell r="N224">
            <v>20470</v>
          </cell>
        </row>
        <row r="225">
          <cell r="B225">
            <v>224</v>
          </cell>
          <cell r="D225" t="str">
            <v>Anguilla</v>
          </cell>
          <cell r="F225" t="str">
            <v>North America</v>
          </cell>
          <cell r="G225">
            <v>15857</v>
          </cell>
          <cell r="H225">
            <v>15585</v>
          </cell>
          <cell r="I225">
            <v>14525</v>
          </cell>
          <cell r="J225">
            <v>13172</v>
          </cell>
          <cell r="K225">
            <v>11047</v>
          </cell>
          <cell r="L225">
            <v>8316</v>
          </cell>
          <cell r="M225">
            <v>6560</v>
          </cell>
          <cell r="N225">
            <v>6283</v>
          </cell>
        </row>
        <row r="226">
          <cell r="B226">
            <v>225</v>
          </cell>
          <cell r="D226" t="str">
            <v>Nauru</v>
          </cell>
          <cell r="F226" t="str">
            <v>Oceania</v>
          </cell>
          <cell r="G226">
            <v>12668</v>
          </cell>
          <cell r="H226">
            <v>12315</v>
          </cell>
          <cell r="I226">
            <v>11185</v>
          </cell>
          <cell r="J226">
            <v>10241</v>
          </cell>
          <cell r="K226">
            <v>10377</v>
          </cell>
          <cell r="L226">
            <v>9598</v>
          </cell>
          <cell r="M226">
            <v>7635</v>
          </cell>
          <cell r="N226">
            <v>6663</v>
          </cell>
        </row>
        <row r="227">
          <cell r="B227">
            <v>226</v>
          </cell>
          <cell r="D227" t="str">
            <v>Wallis and Futuna</v>
          </cell>
          <cell r="F227" t="str">
            <v>Oceania</v>
          </cell>
          <cell r="G227">
            <v>11572</v>
          </cell>
          <cell r="H227">
            <v>11655</v>
          </cell>
          <cell r="I227">
            <v>12182</v>
          </cell>
          <cell r="J227">
            <v>13142</v>
          </cell>
          <cell r="K227">
            <v>14723</v>
          </cell>
          <cell r="L227">
            <v>13454</v>
          </cell>
          <cell r="M227">
            <v>11315</v>
          </cell>
          <cell r="N227">
            <v>9377</v>
          </cell>
        </row>
        <row r="228">
          <cell r="B228">
            <v>227</v>
          </cell>
          <cell r="D228" t="str">
            <v>Tuvalu</v>
          </cell>
          <cell r="F228" t="str">
            <v>Oceania</v>
          </cell>
          <cell r="G228">
            <v>11312</v>
          </cell>
          <cell r="H228">
            <v>11069</v>
          </cell>
          <cell r="I228">
            <v>10877</v>
          </cell>
          <cell r="J228">
            <v>10550</v>
          </cell>
          <cell r="K228">
            <v>9638</v>
          </cell>
          <cell r="L228">
            <v>9182</v>
          </cell>
          <cell r="M228">
            <v>7731</v>
          </cell>
          <cell r="N228">
            <v>5814</v>
          </cell>
        </row>
        <row r="229">
          <cell r="B229">
            <v>228</v>
          </cell>
          <cell r="D229" t="str">
            <v>Saint Barthelemy</v>
          </cell>
          <cell r="F229" t="str">
            <v>North America</v>
          </cell>
          <cell r="G229">
            <v>10967</v>
          </cell>
          <cell r="H229">
            <v>10681</v>
          </cell>
          <cell r="I229">
            <v>9643</v>
          </cell>
          <cell r="J229">
            <v>8988</v>
          </cell>
          <cell r="K229">
            <v>7082</v>
          </cell>
          <cell r="L229">
            <v>5168</v>
          </cell>
          <cell r="M229">
            <v>2983</v>
          </cell>
          <cell r="N229">
            <v>2417</v>
          </cell>
        </row>
        <row r="230">
          <cell r="B230">
            <v>229</v>
          </cell>
          <cell r="D230" t="str">
            <v>Saint Pierre and Miquelon</v>
          </cell>
          <cell r="F230" t="str">
            <v>North America</v>
          </cell>
          <cell r="G230">
            <v>5862</v>
          </cell>
          <cell r="H230">
            <v>5906</v>
          </cell>
          <cell r="I230">
            <v>5978</v>
          </cell>
          <cell r="J230">
            <v>6052</v>
          </cell>
          <cell r="K230">
            <v>6274</v>
          </cell>
          <cell r="L230">
            <v>6324</v>
          </cell>
          <cell r="M230">
            <v>6106</v>
          </cell>
          <cell r="N230">
            <v>5537</v>
          </cell>
        </row>
        <row r="231">
          <cell r="B231">
            <v>230</v>
          </cell>
          <cell r="D231" t="str">
            <v>Montserrat</v>
          </cell>
          <cell r="F231" t="str">
            <v>North America</v>
          </cell>
          <cell r="G231">
            <v>4390</v>
          </cell>
          <cell r="H231">
            <v>4500</v>
          </cell>
          <cell r="I231">
            <v>5059</v>
          </cell>
          <cell r="J231">
            <v>4938</v>
          </cell>
          <cell r="K231">
            <v>5138</v>
          </cell>
          <cell r="L231">
            <v>10805</v>
          </cell>
          <cell r="M231">
            <v>11452</v>
          </cell>
          <cell r="N231">
            <v>11402</v>
          </cell>
        </row>
        <row r="232">
          <cell r="B232">
            <v>231</v>
          </cell>
          <cell r="D232" t="str">
            <v>Falkland Islands</v>
          </cell>
          <cell r="F232" t="str">
            <v>South America</v>
          </cell>
          <cell r="G232">
            <v>3780</v>
          </cell>
          <cell r="H232">
            <v>3747</v>
          </cell>
          <cell r="I232">
            <v>3408</v>
          </cell>
          <cell r="J232">
            <v>3187</v>
          </cell>
          <cell r="K232">
            <v>3080</v>
          </cell>
          <cell r="L232">
            <v>2332</v>
          </cell>
          <cell r="M232">
            <v>2240</v>
          </cell>
          <cell r="N232">
            <v>2274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orldpopnew"/>
    </sheetNames>
    <sheetDataSet>
      <sheetData sheetId="0">
        <row r="1">
          <cell r="M1" t="str">
            <v>World Population %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aw Sheet"/>
    </sheetNames>
    <sheetDataSet>
      <sheetData sheetId="0">
        <row r="9">
          <cell r="C9" t="str">
            <v>China</v>
          </cell>
        </row>
        <row r="247">
          <cell r="O247">
            <v>1</v>
          </cell>
          <cell r="P247" t="str">
            <v>China</v>
          </cell>
          <cell r="Q247">
            <v>1.0636151047457743E-2</v>
          </cell>
        </row>
        <row r="248">
          <cell r="B248">
            <v>1</v>
          </cell>
          <cell r="C248" t="str">
            <v>China</v>
          </cell>
          <cell r="D248">
            <v>822534450</v>
          </cell>
          <cell r="E248">
            <v>1425887337</v>
          </cell>
          <cell r="O248">
            <v>2</v>
          </cell>
          <cell r="P248" t="str">
            <v>India</v>
          </cell>
          <cell r="Q248">
            <v>1.8103349152284398E-2</v>
          </cell>
        </row>
        <row r="249">
          <cell r="B249">
            <v>2</v>
          </cell>
          <cell r="C249" t="str">
            <v>India</v>
          </cell>
          <cell r="D249">
            <v>557501301</v>
          </cell>
          <cell r="E249">
            <v>1417173173</v>
          </cell>
          <cell r="O249">
            <v>3</v>
          </cell>
          <cell r="P249" t="str">
            <v>United States</v>
          </cell>
          <cell r="Q249">
            <v>1.0126805074097023E-2</v>
          </cell>
        </row>
        <row r="250">
          <cell r="B250">
            <v>3</v>
          </cell>
          <cell r="C250" t="str">
            <v>United States</v>
          </cell>
          <cell r="D250">
            <v>200328340</v>
          </cell>
          <cell r="E250">
            <v>338289857</v>
          </cell>
          <cell r="O250">
            <v>4</v>
          </cell>
          <cell r="P250" t="str">
            <v>Indonesia</v>
          </cell>
          <cell r="Q250">
            <v>1.6904293221459588E-2</v>
          </cell>
        </row>
        <row r="251">
          <cell r="B251">
            <v>4</v>
          </cell>
          <cell r="C251" t="str">
            <v>Indonesia</v>
          </cell>
          <cell r="D251">
            <v>115228394</v>
          </cell>
          <cell r="E251">
            <v>275501339</v>
          </cell>
          <cell r="O251">
            <v>5</v>
          </cell>
          <cell r="P251" t="str">
            <v>Pakistan</v>
          </cell>
          <cell r="Q251">
            <v>2.6906263769921113E-2</v>
          </cell>
        </row>
        <row r="252">
          <cell r="B252">
            <v>5</v>
          </cell>
          <cell r="C252" t="str">
            <v>Pakistan</v>
          </cell>
          <cell r="D252">
            <v>59290872</v>
          </cell>
          <cell r="E252">
            <v>235824862</v>
          </cell>
          <cell r="O252">
            <v>6</v>
          </cell>
          <cell r="P252" t="str">
            <v>Nigeria</v>
          </cell>
          <cell r="Q252">
            <v>2.6683337003317043E-2</v>
          </cell>
        </row>
        <row r="253">
          <cell r="B253">
            <v>6</v>
          </cell>
          <cell r="C253" t="str">
            <v>Nigeria</v>
          </cell>
          <cell r="D253">
            <v>55569264</v>
          </cell>
          <cell r="E253">
            <v>218541212</v>
          </cell>
          <cell r="O253">
            <v>7</v>
          </cell>
          <cell r="P253" t="str">
            <v>Brazil</v>
          </cell>
          <cell r="Q253">
            <v>1.5579761626140609E-2</v>
          </cell>
        </row>
        <row r="254">
          <cell r="B254">
            <v>7</v>
          </cell>
          <cell r="C254" t="str">
            <v>Brazil</v>
          </cell>
          <cell r="D254">
            <v>96369875</v>
          </cell>
          <cell r="E254">
            <v>215313498</v>
          </cell>
          <cell r="O254">
            <v>8</v>
          </cell>
          <cell r="P254" t="str">
            <v>Bangladesh</v>
          </cell>
          <cell r="Q254">
            <v>1.8045606662919544E-2</v>
          </cell>
        </row>
        <row r="255">
          <cell r="B255">
            <v>8</v>
          </cell>
          <cell r="C255" t="str">
            <v>Bangladesh</v>
          </cell>
          <cell r="D255">
            <v>67541860</v>
          </cell>
          <cell r="E255">
            <v>171186372</v>
          </cell>
          <cell r="O255">
            <v>9</v>
          </cell>
          <cell r="P255" t="str">
            <v>Russia</v>
          </cell>
          <cell r="Q255">
            <v>2.0502717133898951E-3</v>
          </cell>
        </row>
        <row r="256">
          <cell r="B256">
            <v>9</v>
          </cell>
          <cell r="C256" t="str">
            <v>Russia</v>
          </cell>
          <cell r="D256">
            <v>130093010</v>
          </cell>
          <cell r="E256">
            <v>144713314</v>
          </cell>
          <cell r="O256">
            <v>10</v>
          </cell>
          <cell r="P256" t="str">
            <v>Mexico</v>
          </cell>
          <cell r="Q256">
            <v>1.8052477768921271E-2</v>
          </cell>
        </row>
        <row r="257">
          <cell r="B257">
            <v>10</v>
          </cell>
          <cell r="C257" t="str">
            <v>Mexico</v>
          </cell>
          <cell r="D257">
            <v>50289306</v>
          </cell>
          <cell r="E257">
            <v>127504125</v>
          </cell>
        </row>
        <row r="265">
          <cell r="O265">
            <v>1</v>
          </cell>
          <cell r="P265" t="str">
            <v>China</v>
          </cell>
          <cell r="Q265">
            <v>1551828934.968544</v>
          </cell>
        </row>
        <row r="266">
          <cell r="O266">
            <v>2</v>
          </cell>
          <cell r="P266" t="str">
            <v>India</v>
          </cell>
          <cell r="Q266">
            <v>1635904139.6830502</v>
          </cell>
        </row>
        <row r="267">
          <cell r="O267">
            <v>3</v>
          </cell>
          <cell r="P267" t="str">
            <v>United States</v>
          </cell>
          <cell r="Q267">
            <v>366687531.82597941</v>
          </cell>
        </row>
        <row r="268">
          <cell r="O268">
            <v>4</v>
          </cell>
          <cell r="P268" t="str">
            <v>Indonesia</v>
          </cell>
          <cell r="Q268">
            <v>315039029.47899228</v>
          </cell>
        </row>
        <row r="269">
          <cell r="O269">
            <v>5</v>
          </cell>
          <cell r="P269" t="str">
            <v>Pakistan</v>
          </cell>
          <cell r="Q269">
            <v>291632561.3944732</v>
          </cell>
        </row>
        <row r="270">
          <cell r="O270">
            <v>6</v>
          </cell>
          <cell r="P270" t="str">
            <v>Nigeria</v>
          </cell>
          <cell r="Q270">
            <v>269789756.01274896</v>
          </cell>
        </row>
        <row r="271">
          <cell r="C271" t="str">
            <v>Palau</v>
          </cell>
          <cell r="D271">
            <v>11366</v>
          </cell>
          <cell r="E271">
            <v>18055</v>
          </cell>
          <cell r="O271">
            <v>7</v>
          </cell>
          <cell r="P271" t="str">
            <v>Brazil</v>
          </cell>
          <cell r="Q271">
            <v>243659617.589261</v>
          </cell>
        </row>
        <row r="272">
          <cell r="C272" t="str">
            <v>Cook Islands</v>
          </cell>
          <cell r="D272">
            <v>20470</v>
          </cell>
          <cell r="E272">
            <v>17011</v>
          </cell>
          <cell r="O272">
            <v>8</v>
          </cell>
          <cell r="P272" t="str">
            <v>Bangladesh</v>
          </cell>
          <cell r="Q272">
            <v>197518173.29673555</v>
          </cell>
        </row>
        <row r="273">
          <cell r="C273" t="str">
            <v>Anguilla</v>
          </cell>
          <cell r="D273">
            <v>6283</v>
          </cell>
          <cell r="E273">
            <v>15857</v>
          </cell>
          <cell r="O273">
            <v>9</v>
          </cell>
          <cell r="P273" t="str">
            <v>Russia</v>
          </cell>
          <cell r="Q273">
            <v>147104029.86747959</v>
          </cell>
        </row>
        <row r="274">
          <cell r="C274" t="str">
            <v>Nauru</v>
          </cell>
          <cell r="D274">
            <v>6663</v>
          </cell>
          <cell r="E274">
            <v>12668</v>
          </cell>
          <cell r="O274">
            <v>10</v>
          </cell>
          <cell r="P274" t="str">
            <v>Mexico</v>
          </cell>
          <cell r="Q274">
            <v>147124688.80200568</v>
          </cell>
        </row>
        <row r="275">
          <cell r="C275" t="str">
            <v>Wallis and Futuna</v>
          </cell>
          <cell r="D275">
            <v>9377</v>
          </cell>
          <cell r="E275">
            <v>11572</v>
          </cell>
        </row>
        <row r="276">
          <cell r="C276" t="str">
            <v>Tuvalu</v>
          </cell>
          <cell r="D276">
            <v>5814</v>
          </cell>
          <cell r="E276">
            <v>11312</v>
          </cell>
        </row>
        <row r="277">
          <cell r="C277" t="str">
            <v>Saint Barthelemy</v>
          </cell>
          <cell r="D277">
            <v>2417</v>
          </cell>
          <cell r="E277">
            <v>10967</v>
          </cell>
        </row>
        <row r="278">
          <cell r="C278" t="str">
            <v>Saint Pierre and Miquelon</v>
          </cell>
          <cell r="D278">
            <v>5537</v>
          </cell>
          <cell r="E278">
            <v>5862</v>
          </cell>
        </row>
        <row r="279">
          <cell r="C279" t="str">
            <v>Montserrat</v>
          </cell>
          <cell r="D279">
            <v>11402</v>
          </cell>
          <cell r="E279">
            <v>4390</v>
          </cell>
        </row>
        <row r="280">
          <cell r="C280" t="str">
            <v>Falkland Islands</v>
          </cell>
          <cell r="D280">
            <v>2274</v>
          </cell>
          <cell r="E280">
            <v>3780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J310"/>
  <sheetViews>
    <sheetView showGridLines="0" topLeftCell="C1" workbookViewId="0">
      <selection activeCell="Q253" sqref="Q253"/>
    </sheetView>
  </sheetViews>
  <sheetFormatPr defaultColWidth="16.140625" defaultRowHeight="15"/>
  <cols>
    <col min="1" max="1" width="3.5703125" customWidth="1"/>
    <col min="2" max="2" width="7.28515625" customWidth="1"/>
    <col min="3" max="3" width="24.85546875" customWidth="1"/>
    <col min="4" max="4" width="15" customWidth="1"/>
    <col min="5" max="5" width="15.42578125" customWidth="1"/>
    <col min="6" max="6" width="16.7109375" customWidth="1"/>
    <col min="7" max="7" width="12.85546875" customWidth="1"/>
    <col min="8" max="8" width="13.85546875" style="24" customWidth="1"/>
    <col min="10" max="10" width="13.7109375" customWidth="1"/>
    <col min="11" max="11" width="13.28515625" style="24" customWidth="1"/>
    <col min="12" max="12" width="17" customWidth="1"/>
    <col min="13" max="13" width="12.7109375" customWidth="1"/>
    <col min="14" max="14" width="12.7109375" style="24" customWidth="1"/>
    <col min="16" max="16" width="11.7109375" customWidth="1"/>
    <col min="17" max="17" width="14" style="24" customWidth="1"/>
    <col min="19" max="19" width="12.5703125" customWidth="1"/>
    <col min="20" max="20" width="12.5703125" style="24" customWidth="1"/>
    <col min="21" max="21" width="15.28515625" customWidth="1"/>
    <col min="22" max="22" width="12.85546875" customWidth="1"/>
    <col min="23" max="23" width="11.7109375" style="24" customWidth="1"/>
    <col min="24" max="24" width="15.5703125" bestFit="1" customWidth="1"/>
    <col min="25" max="25" width="12.28515625" customWidth="1"/>
    <col min="26" max="26" width="12.28515625" style="24" customWidth="1"/>
    <col min="27" max="27" width="18.7109375" customWidth="1"/>
    <col min="28" max="28" width="13.85546875" customWidth="1"/>
  </cols>
  <sheetData>
    <row r="2" spans="2:36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</row>
    <row r="3" spans="2:36" ht="15" customHeight="1">
      <c r="B3" s="82" t="s">
        <v>29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47"/>
      <c r="AD3" s="47"/>
    </row>
    <row r="4" spans="2:36" ht="15" customHeight="1"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47"/>
      <c r="AD4" s="47"/>
      <c r="AF4" s="14"/>
      <c r="AG4" s="83" t="s">
        <v>36</v>
      </c>
      <c r="AH4" s="83"/>
      <c r="AI4" s="83"/>
      <c r="AJ4" s="83"/>
    </row>
    <row r="5" spans="2:36"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F5" s="52"/>
      <c r="AG5" s="83"/>
      <c r="AH5" s="83"/>
      <c r="AI5" s="83"/>
      <c r="AJ5" s="83"/>
    </row>
    <row r="7" spans="2:36" ht="15" customHeight="1">
      <c r="B7" s="1" t="s">
        <v>1</v>
      </c>
      <c r="C7" s="2" t="str">
        <f>[1]world_population_Raw_Data!D1</f>
        <v>Country/Territory</v>
      </c>
      <c r="D7" s="2" t="str">
        <f>[1]world_population_Raw_Data!F1</f>
        <v>Continent</v>
      </c>
      <c r="E7" s="2" t="str">
        <f>[1]world_population_Raw_Data!N1</f>
        <v>1970 Population</v>
      </c>
      <c r="F7" s="2" t="str">
        <f>[1]world_population_Raw_Data!M1</f>
        <v>1980 Population</v>
      </c>
      <c r="G7" s="15" t="s">
        <v>28</v>
      </c>
      <c r="H7" s="38" t="s">
        <v>25</v>
      </c>
      <c r="I7" s="2" t="str">
        <f>[1]world_population_Raw_Data!L1</f>
        <v>1990 Population</v>
      </c>
      <c r="J7" s="15" t="str">
        <f>G7</f>
        <v xml:space="preserve">Growth Rate </v>
      </c>
      <c r="K7" s="38" t="str">
        <f>H7</f>
        <v>CAGR 10 YR</v>
      </c>
      <c r="L7" s="2" t="str">
        <f>[1]world_population_Raw_Data!K1</f>
        <v>2000 Population</v>
      </c>
      <c r="M7" s="15" t="str">
        <f>J7</f>
        <v xml:space="preserve">Growth Rate </v>
      </c>
      <c r="N7" s="38" t="str">
        <f>H7</f>
        <v>CAGR 10 YR</v>
      </c>
      <c r="O7" s="2" t="str">
        <f>[1]world_population_Raw_Data!J1</f>
        <v>2010 Population</v>
      </c>
      <c r="P7" s="15" t="str">
        <f>G7</f>
        <v xml:space="preserve">Growth Rate </v>
      </c>
      <c r="Q7" s="38" t="str">
        <f>N7</f>
        <v>CAGR 10 YR</v>
      </c>
      <c r="R7" s="2" t="str">
        <f>[1]world_population_Raw_Data!I1</f>
        <v>2015 Population</v>
      </c>
      <c r="S7" s="15" t="str">
        <f>G7</f>
        <v xml:space="preserve">Growth Rate </v>
      </c>
      <c r="T7" s="38" t="s">
        <v>26</v>
      </c>
      <c r="U7" s="2" t="str">
        <f>[1]world_population_Raw_Data!H1</f>
        <v>2020 Population</v>
      </c>
      <c r="V7" s="15" t="str">
        <f>G7</f>
        <v xml:space="preserve">Growth Rate </v>
      </c>
      <c r="W7" s="38" t="str">
        <f>T7</f>
        <v>CAGR 5 YR</v>
      </c>
      <c r="X7" s="2" t="str">
        <f>[1]world_population_Raw_Data!G1</f>
        <v>2022 Population</v>
      </c>
      <c r="Y7" s="15" t="str">
        <f>[1]world_population_Raw_Data!Q1</f>
        <v>Growth Rate</v>
      </c>
      <c r="Z7" s="38" t="s">
        <v>27</v>
      </c>
      <c r="AA7" s="3" t="str">
        <f>[2]Worldpopnew!$M$1</f>
        <v>World Population %</v>
      </c>
      <c r="AB7" s="35" t="s">
        <v>24</v>
      </c>
      <c r="AC7" s="84" t="s">
        <v>33</v>
      </c>
      <c r="AD7" s="84"/>
    </row>
    <row r="8" spans="2:36">
      <c r="B8" s="4"/>
      <c r="C8" s="5"/>
      <c r="D8" s="6"/>
      <c r="E8" s="6"/>
      <c r="F8" s="6"/>
      <c r="G8" s="6"/>
      <c r="H8" s="36"/>
      <c r="I8" s="6"/>
      <c r="J8" s="6"/>
      <c r="K8" s="36"/>
      <c r="L8" s="6"/>
      <c r="M8" s="6"/>
      <c r="N8" s="36"/>
      <c r="O8" s="6"/>
      <c r="P8" s="6"/>
      <c r="Q8" s="36"/>
      <c r="R8" s="6"/>
      <c r="S8" s="6"/>
      <c r="T8" s="36"/>
      <c r="U8" s="6"/>
      <c r="V8" s="6"/>
      <c r="W8" s="36"/>
      <c r="X8" s="6"/>
      <c r="Y8" s="6"/>
      <c r="Z8" s="36"/>
      <c r="AA8" s="7"/>
    </row>
    <row r="9" spans="2:36">
      <c r="B9" s="8">
        <f>[1]world_population_Raw_Data!B2</f>
        <v>1</v>
      </c>
      <c r="C9" s="9" t="str">
        <f>[1]world_population_Raw_Data!D2</f>
        <v>China</v>
      </c>
      <c r="D9" s="10" t="str">
        <f>[1]world_population_Raw_Data!F2</f>
        <v>Asia</v>
      </c>
      <c r="E9" s="11">
        <f>[1]world_population_Raw_Data!N2</f>
        <v>822534450</v>
      </c>
      <c r="F9" s="11">
        <f>[1]world_population_Raw_Data!M2</f>
        <v>982372466</v>
      </c>
      <c r="G9" s="18">
        <f>(F9-E9)/E9</f>
        <v>0.19432379519180018</v>
      </c>
      <c r="H9" s="39">
        <f>(F9/E9)^(1/10)</f>
        <v>1.0179166273997242</v>
      </c>
      <c r="I9" s="11">
        <f>[1]world_population_Raw_Data!L2</f>
        <v>1153704252</v>
      </c>
      <c r="J9" s="18">
        <f>(I9-F9)/F9</f>
        <v>0.17440613609380212</v>
      </c>
      <c r="K9" s="39">
        <f>(I9/F9)^(1/10)</f>
        <v>1.0162061787144705</v>
      </c>
      <c r="L9" s="11">
        <f>[1]world_population_Raw_Data!K2</f>
        <v>1264099069</v>
      </c>
      <c r="M9" s="18">
        <f>(L9-I9)/I9</f>
        <v>9.5687275840949229E-2</v>
      </c>
      <c r="N9" s="39">
        <f>(L9/I9)^(1/10)-1</f>
        <v>9.180062209760198E-3</v>
      </c>
      <c r="O9" s="11">
        <f>[1]world_population_Raw_Data!J2</f>
        <v>1348191368</v>
      </c>
      <c r="P9" s="18">
        <f>(O9-L9)/L9</f>
        <v>6.6523503625806404E-2</v>
      </c>
      <c r="Q9" s="39">
        <f>(O9/L9)^(1/10)-1</f>
        <v>6.4612138408146613E-3</v>
      </c>
      <c r="R9" s="11">
        <f>[1]world_population_Raw_Data!I2</f>
        <v>1393715448</v>
      </c>
      <c r="S9" s="18">
        <f>(R9-O9)/O9</f>
        <v>3.3766779020053775E-2</v>
      </c>
      <c r="T9" s="39">
        <f>(R9/O9)^(1/5)-1</f>
        <v>6.6639456195791702E-3</v>
      </c>
      <c r="U9" s="11">
        <f>[1]world_population_Raw_Data!H2</f>
        <v>1424929781</v>
      </c>
      <c r="V9" s="18">
        <f>(U9-R9)/R9</f>
        <v>2.2396489215063934E-2</v>
      </c>
      <c r="W9" s="39">
        <f>(U9/R9)^(1/5)-1</f>
        <v>4.4397005508334253E-3</v>
      </c>
      <c r="X9" s="11">
        <f>[1]world_population_Raw_Data!G2</f>
        <v>1425887337</v>
      </c>
      <c r="Y9" s="18">
        <f t="shared" ref="Y9:Y72" si="0">(X9-U9)/U9</f>
        <v>6.7200223671934052E-4</v>
      </c>
      <c r="Z9" s="39">
        <f>(X9/U9)^(1/2)-1</f>
        <v>3.359446889426021E-4</v>
      </c>
      <c r="AA9" s="19">
        <f t="shared" ref="AA9:AA72" si="1">X9/$X$241</f>
        <v>0.17883033290035427</v>
      </c>
      <c r="AB9" s="45">
        <f>(X9/E9)^(1/52)-1</f>
        <v>1.0636151047457743E-2</v>
      </c>
      <c r="AC9" s="81">
        <f>X9*(1+AB9)^8</f>
        <v>1551828934.968544</v>
      </c>
      <c r="AD9" s="81"/>
    </row>
    <row r="10" spans="2:36">
      <c r="B10" s="8">
        <f>[1]world_population_Raw_Data!B3</f>
        <v>2</v>
      </c>
      <c r="C10" s="9" t="str">
        <f>[1]world_population_Raw_Data!D3</f>
        <v>India</v>
      </c>
      <c r="D10" s="10" t="str">
        <f>[1]world_population_Raw_Data!F3</f>
        <v>Asia</v>
      </c>
      <c r="E10" s="11">
        <f>[1]world_population_Raw_Data!N3</f>
        <v>557501301</v>
      </c>
      <c r="F10" s="11">
        <f>[1]world_population_Raw_Data!M3</f>
        <v>696828385</v>
      </c>
      <c r="G10" s="18">
        <f t="shared" ref="G10:G73" si="2">(F10-E10)/E10</f>
        <v>0.24991346881179743</v>
      </c>
      <c r="H10" s="39">
        <f t="shared" ref="H10:H73" si="3">(F10/E10)^(1/10)</f>
        <v>1.0225581036406322</v>
      </c>
      <c r="I10" s="11">
        <f>[1]world_population_Raw_Data!L3</f>
        <v>870452165</v>
      </c>
      <c r="J10" s="18">
        <f t="shared" ref="J10:J73" si="4">(I10-F10)/F10</f>
        <v>0.24916289826511587</v>
      </c>
      <c r="K10" s="39">
        <f t="shared" ref="K10:K73" si="5">(I10/F10)^(1/10)</f>
        <v>1.0224966826310606</v>
      </c>
      <c r="L10" s="11">
        <f>[1]world_population_Raw_Data!K3</f>
        <v>1059633675</v>
      </c>
      <c r="M10" s="18">
        <f t="shared" ref="M10:M73" si="6">(L10-I10)/I10</f>
        <v>0.21733705493167452</v>
      </c>
      <c r="N10" s="39">
        <f t="shared" ref="N10:N73" si="7">(L10/I10)^(1/10)-1</f>
        <v>1.9861234183683241E-2</v>
      </c>
      <c r="O10" s="11">
        <f>[1]world_population_Raw_Data!J3</f>
        <v>1240613620</v>
      </c>
      <c r="P10" s="18">
        <f t="shared" ref="P10:P73" si="8">(O10-L10)/L10</f>
        <v>0.17079482208792582</v>
      </c>
      <c r="Q10" s="39">
        <f t="shared" ref="Q10:Q73" si="9">(O10/L10)^(1/10)-1</f>
        <v>1.5893260758168326E-2</v>
      </c>
      <c r="R10" s="11">
        <f>[1]world_population_Raw_Data!I3</f>
        <v>1322866505</v>
      </c>
      <c r="S10" s="18">
        <f t="shared" ref="S10:S73" si="10">(R10-O10)/O10</f>
        <v>6.6300162817815908E-2</v>
      </c>
      <c r="T10" s="39">
        <f t="shared" ref="T10:T73" si="11">(R10/O10)^(1/5)-1</f>
        <v>1.2921746423211866E-2</v>
      </c>
      <c r="U10" s="11">
        <f>[1]world_population_Raw_Data!H3</f>
        <v>1396387127</v>
      </c>
      <c r="V10" s="18">
        <f t="shared" ref="V10:V73" si="12">(U10-R10)/R10</f>
        <v>5.5576750731926652E-2</v>
      </c>
      <c r="W10" s="39">
        <f t="shared" ref="W10:W73" si="13">(U10/R10)^(1/5)-1</f>
        <v>1.0876180407556113E-2</v>
      </c>
      <c r="X10" s="11">
        <f>[1]world_population_Raw_Data!G3</f>
        <v>1417173173</v>
      </c>
      <c r="Y10" s="18">
        <f t="shared" si="0"/>
        <v>1.4885589818245296E-2</v>
      </c>
      <c r="Z10" s="39">
        <f t="shared" ref="Z10:Z73" si="14">(X10/U10)^(1/2)-1</f>
        <v>7.4153015605060713E-3</v>
      </c>
      <c r="AA10" s="19">
        <f t="shared" si="1"/>
        <v>0.17773742968939865</v>
      </c>
      <c r="AB10" s="45">
        <f t="shared" ref="AB10:AB73" si="15">(X10/E10)^(1/52)-1</f>
        <v>1.8103349152284398E-2</v>
      </c>
      <c r="AC10" s="81">
        <f t="shared" ref="AC10:AC36" si="16">X10*(1+AB10)^8</f>
        <v>1635904139.6830502</v>
      </c>
      <c r="AD10" s="81"/>
    </row>
    <row r="11" spans="2:36">
      <c r="B11" s="8">
        <f>[1]world_population_Raw_Data!B4</f>
        <v>3</v>
      </c>
      <c r="C11" s="9" t="str">
        <f>[1]world_population_Raw_Data!D4</f>
        <v>United States</v>
      </c>
      <c r="D11" s="10" t="str">
        <f>[1]world_population_Raw_Data!F4</f>
        <v>North America</v>
      </c>
      <c r="E11" s="11">
        <f>[1]world_population_Raw_Data!N4</f>
        <v>200328340</v>
      </c>
      <c r="F11" s="11">
        <f>[1]world_population_Raw_Data!M4</f>
        <v>223140018</v>
      </c>
      <c r="G11" s="18">
        <f t="shared" si="2"/>
        <v>0.11387144724505779</v>
      </c>
      <c r="H11" s="39">
        <f t="shared" si="3"/>
        <v>1.0108425325367851</v>
      </c>
      <c r="I11" s="11">
        <f>[1]world_population_Raw_Data!L4</f>
        <v>248083732</v>
      </c>
      <c r="J11" s="18">
        <f t="shared" si="4"/>
        <v>0.11178503176422618</v>
      </c>
      <c r="K11" s="39">
        <f t="shared" si="5"/>
        <v>1.0106530297586829</v>
      </c>
      <c r="L11" s="11">
        <f>[1]world_population_Raw_Data!K4</f>
        <v>282398554</v>
      </c>
      <c r="M11" s="18">
        <f t="shared" si="6"/>
        <v>0.13831951705724904</v>
      </c>
      <c r="N11" s="39">
        <f t="shared" si="7"/>
        <v>1.3039590265299772E-2</v>
      </c>
      <c r="O11" s="11">
        <f>[1]world_population_Raw_Data!J4</f>
        <v>311182845</v>
      </c>
      <c r="P11" s="18">
        <f t="shared" si="8"/>
        <v>0.10192789797358523</v>
      </c>
      <c r="Q11" s="39">
        <f t="shared" si="9"/>
        <v>9.7533852571953794E-3</v>
      </c>
      <c r="R11" s="11">
        <f>[1]world_population_Raw_Data!I4</f>
        <v>324607776</v>
      </c>
      <c r="S11" s="18">
        <f t="shared" si="10"/>
        <v>4.3141616627356175E-2</v>
      </c>
      <c r="T11" s="39">
        <f t="shared" si="11"/>
        <v>8.4831688618287604E-3</v>
      </c>
      <c r="U11" s="11">
        <f>[1]world_population_Raw_Data!H4</f>
        <v>335942003</v>
      </c>
      <c r="V11" s="18">
        <f t="shared" si="12"/>
        <v>3.4916683573224076E-2</v>
      </c>
      <c r="W11" s="39">
        <f t="shared" si="13"/>
        <v>6.8877974159666788E-3</v>
      </c>
      <c r="X11" s="11">
        <f>[1]world_population_Raw_Data!G4</f>
        <v>338289857</v>
      </c>
      <c r="Y11" s="18">
        <f t="shared" si="0"/>
        <v>6.9888670634615461E-3</v>
      </c>
      <c r="Z11" s="39">
        <f t="shared" si="14"/>
        <v>3.4883492415154205E-3</v>
      </c>
      <c r="AA11" s="19">
        <f t="shared" si="1"/>
        <v>4.2427256469929113E-2</v>
      </c>
      <c r="AB11" s="45">
        <f t="shared" si="15"/>
        <v>1.0126805074097023E-2</v>
      </c>
      <c r="AC11" s="81">
        <f t="shared" si="16"/>
        <v>366687531.82597941</v>
      </c>
      <c r="AD11" s="81"/>
    </row>
    <row r="12" spans="2:36">
      <c r="B12" s="8">
        <f>[1]world_population_Raw_Data!B5</f>
        <v>4</v>
      </c>
      <c r="C12" s="9" t="str">
        <f>[1]world_population_Raw_Data!D5</f>
        <v>Indonesia</v>
      </c>
      <c r="D12" s="10" t="str">
        <f>[1]world_population_Raw_Data!F5</f>
        <v>Asia</v>
      </c>
      <c r="E12" s="11">
        <f>[1]world_population_Raw_Data!N5</f>
        <v>115228394</v>
      </c>
      <c r="F12" s="11">
        <f>[1]world_population_Raw_Data!M5</f>
        <v>148177096</v>
      </c>
      <c r="G12" s="18">
        <f t="shared" si="2"/>
        <v>0.28594256030332244</v>
      </c>
      <c r="H12" s="39">
        <f t="shared" si="3"/>
        <v>1.0254681047921148</v>
      </c>
      <c r="I12" s="11">
        <f>[1]world_population_Raw_Data!L5</f>
        <v>182159874</v>
      </c>
      <c r="J12" s="18">
        <f t="shared" si="4"/>
        <v>0.22933893912997189</v>
      </c>
      <c r="K12" s="39">
        <f t="shared" si="5"/>
        <v>1.0208622952981143</v>
      </c>
      <c r="L12" s="11">
        <f>[1]world_population_Raw_Data!K5</f>
        <v>214072421</v>
      </c>
      <c r="M12" s="18">
        <f t="shared" si="6"/>
        <v>0.1751897731330227</v>
      </c>
      <c r="N12" s="39">
        <f t="shared" si="7"/>
        <v>1.6273965978445215E-2</v>
      </c>
      <c r="O12" s="11">
        <f>[1]world_population_Raw_Data!J5</f>
        <v>244016173</v>
      </c>
      <c r="P12" s="18">
        <f t="shared" si="8"/>
        <v>0.13987673825578867</v>
      </c>
      <c r="Q12" s="39">
        <f t="shared" si="9"/>
        <v>1.3178088851710124E-2</v>
      </c>
      <c r="R12" s="11">
        <f>[1]world_population_Raw_Data!I5</f>
        <v>259091970</v>
      </c>
      <c r="S12" s="18">
        <f t="shared" si="10"/>
        <v>6.1781958198319914E-2</v>
      </c>
      <c r="T12" s="39">
        <f t="shared" si="11"/>
        <v>1.2061882652495859E-2</v>
      </c>
      <c r="U12" s="11">
        <f>[1]world_population_Raw_Data!H5</f>
        <v>271857970</v>
      </c>
      <c r="V12" s="18">
        <f t="shared" si="12"/>
        <v>4.9272078945557442E-2</v>
      </c>
      <c r="W12" s="39">
        <f t="shared" si="13"/>
        <v>9.6657476125177055E-3</v>
      </c>
      <c r="X12" s="11">
        <f>[1]world_population_Raw_Data!G5</f>
        <v>275501339</v>
      </c>
      <c r="Y12" s="18">
        <f t="shared" si="0"/>
        <v>1.3401736943743088E-2</v>
      </c>
      <c r="Z12" s="39">
        <f t="shared" si="14"/>
        <v>6.6785668443245516E-3</v>
      </c>
      <c r="AA12" s="19">
        <f t="shared" si="1"/>
        <v>3.4552516800886182E-2</v>
      </c>
      <c r="AB12" s="45">
        <f t="shared" si="15"/>
        <v>1.6904293221459588E-2</v>
      </c>
      <c r="AC12" s="81">
        <f t="shared" si="16"/>
        <v>315039029.47899228</v>
      </c>
      <c r="AD12" s="81"/>
    </row>
    <row r="13" spans="2:36">
      <c r="B13" s="8">
        <f>[1]world_population_Raw_Data!B6</f>
        <v>5</v>
      </c>
      <c r="C13" s="9" t="str">
        <f>[1]world_population_Raw_Data!D6</f>
        <v>Pakistan</v>
      </c>
      <c r="D13" s="10" t="str">
        <f>[1]world_population_Raw_Data!F6</f>
        <v>Asia</v>
      </c>
      <c r="E13" s="11">
        <f>[1]world_population_Raw_Data!N6</f>
        <v>59290872</v>
      </c>
      <c r="F13" s="11">
        <f>[1]world_population_Raw_Data!M6</f>
        <v>80624057</v>
      </c>
      <c r="G13" s="18">
        <f t="shared" si="2"/>
        <v>0.35980555320555918</v>
      </c>
      <c r="H13" s="39">
        <f t="shared" si="3"/>
        <v>1.0312113419747579</v>
      </c>
      <c r="I13" s="11">
        <f>[1]world_population_Raw_Data!L6</f>
        <v>115414069</v>
      </c>
      <c r="J13" s="18">
        <f t="shared" si="4"/>
        <v>0.43150907178982573</v>
      </c>
      <c r="K13" s="39">
        <f t="shared" si="5"/>
        <v>1.0365241148531574</v>
      </c>
      <c r="L13" s="11">
        <f>[1]world_population_Raw_Data!K6</f>
        <v>154369924</v>
      </c>
      <c r="M13" s="18">
        <f t="shared" si="6"/>
        <v>0.33753125019792862</v>
      </c>
      <c r="N13" s="39">
        <f t="shared" si="7"/>
        <v>2.9509583587214783E-2</v>
      </c>
      <c r="O13" s="11">
        <f>[1]world_population_Raw_Data!J6</f>
        <v>194454498</v>
      </c>
      <c r="P13" s="18">
        <f t="shared" si="8"/>
        <v>0.25966569757461305</v>
      </c>
      <c r="Q13" s="39">
        <f t="shared" si="9"/>
        <v>2.3353149051481781E-2</v>
      </c>
      <c r="R13" s="11">
        <f>[1]world_population_Raw_Data!I6</f>
        <v>210969298</v>
      </c>
      <c r="S13" s="18">
        <f t="shared" si="10"/>
        <v>8.4928865980770471E-2</v>
      </c>
      <c r="T13" s="39">
        <f t="shared" si="11"/>
        <v>1.6436501859371955E-2</v>
      </c>
      <c r="U13" s="11">
        <f>[1]world_population_Raw_Data!H6</f>
        <v>227196741</v>
      </c>
      <c r="V13" s="18">
        <f t="shared" si="12"/>
        <v>7.6918504985497932E-2</v>
      </c>
      <c r="W13" s="39">
        <f t="shared" si="13"/>
        <v>1.4931117191451682E-2</v>
      </c>
      <c r="X13" s="11">
        <f>[1]world_population_Raw_Data!G6</f>
        <v>235824862</v>
      </c>
      <c r="Y13" s="18">
        <f t="shared" si="0"/>
        <v>3.7976429424223121E-2</v>
      </c>
      <c r="Z13" s="39">
        <f t="shared" si="14"/>
        <v>1.8811282536772334E-2</v>
      </c>
      <c r="AA13" s="19">
        <f t="shared" si="1"/>
        <v>2.9576417072592395E-2</v>
      </c>
      <c r="AB13" s="45">
        <f t="shared" si="15"/>
        <v>2.6906263769921113E-2</v>
      </c>
      <c r="AC13" s="81">
        <f t="shared" si="16"/>
        <v>291632561.3944732</v>
      </c>
      <c r="AD13" s="81"/>
    </row>
    <row r="14" spans="2:36">
      <c r="B14" s="8">
        <f>[1]world_population_Raw_Data!B7</f>
        <v>6</v>
      </c>
      <c r="C14" s="9" t="str">
        <f>[1]world_population_Raw_Data!D7</f>
        <v>Nigeria</v>
      </c>
      <c r="D14" s="10" t="str">
        <f>[1]world_population_Raw_Data!F7</f>
        <v>Africa</v>
      </c>
      <c r="E14" s="11">
        <f>[1]world_population_Raw_Data!N7</f>
        <v>55569264</v>
      </c>
      <c r="F14" s="11">
        <f>[1]world_population_Raw_Data!M7</f>
        <v>72951439</v>
      </c>
      <c r="G14" s="18">
        <f t="shared" si="2"/>
        <v>0.31280196548941158</v>
      </c>
      <c r="H14" s="39">
        <f t="shared" si="3"/>
        <v>1.0275901243418664</v>
      </c>
      <c r="I14" s="11">
        <f>[1]world_population_Raw_Data!L7</f>
        <v>95214257</v>
      </c>
      <c r="J14" s="18">
        <f t="shared" si="4"/>
        <v>0.30517311659883778</v>
      </c>
      <c r="K14" s="39">
        <f t="shared" si="5"/>
        <v>1.0269914121499573</v>
      </c>
      <c r="L14" s="11">
        <f>[1]world_population_Raw_Data!K7</f>
        <v>122851984</v>
      </c>
      <c r="M14" s="18">
        <f t="shared" si="6"/>
        <v>0.29026878821309293</v>
      </c>
      <c r="N14" s="39">
        <f t="shared" si="7"/>
        <v>2.5812576374282026E-2</v>
      </c>
      <c r="O14" s="11">
        <f>[1]world_population_Raw_Data!J7</f>
        <v>160952853</v>
      </c>
      <c r="P14" s="18">
        <f t="shared" si="8"/>
        <v>0.31013637516834891</v>
      </c>
      <c r="Q14" s="39">
        <f t="shared" si="9"/>
        <v>2.7381285510919895E-2</v>
      </c>
      <c r="R14" s="11">
        <f>[1]world_population_Raw_Data!I7</f>
        <v>183995785</v>
      </c>
      <c r="S14" s="18">
        <f t="shared" si="10"/>
        <v>0.14316572567992938</v>
      </c>
      <c r="T14" s="39">
        <f t="shared" si="11"/>
        <v>2.7121544716690149E-2</v>
      </c>
      <c r="U14" s="11">
        <f>[1]world_population_Raw_Data!H7</f>
        <v>208327405</v>
      </c>
      <c r="V14" s="18">
        <f t="shared" si="12"/>
        <v>0.13224009452173049</v>
      </c>
      <c r="W14" s="39">
        <f t="shared" si="13"/>
        <v>2.5150684429511072E-2</v>
      </c>
      <c r="X14" s="11">
        <f>[1]world_population_Raw_Data!G7</f>
        <v>218541212</v>
      </c>
      <c r="Y14" s="18">
        <f t="shared" si="0"/>
        <v>4.9027668731341421E-2</v>
      </c>
      <c r="Z14" s="39">
        <f t="shared" si="14"/>
        <v>2.422051762857258E-2</v>
      </c>
      <c r="AA14" s="19">
        <f t="shared" si="1"/>
        <v>2.740875571322007E-2</v>
      </c>
      <c r="AB14" s="45">
        <f t="shared" si="15"/>
        <v>2.6683337003317043E-2</v>
      </c>
      <c r="AC14" s="81">
        <f t="shared" si="16"/>
        <v>269789756.01274896</v>
      </c>
      <c r="AD14" s="81"/>
    </row>
    <row r="15" spans="2:36">
      <c r="B15" s="8">
        <f>[1]world_population_Raw_Data!B8</f>
        <v>7</v>
      </c>
      <c r="C15" s="9" t="str">
        <f>[1]world_population_Raw_Data!D8</f>
        <v>Brazil</v>
      </c>
      <c r="D15" s="10" t="str">
        <f>[1]world_population_Raw_Data!F8</f>
        <v>South America</v>
      </c>
      <c r="E15" s="11">
        <f>[1]world_population_Raw_Data!N8</f>
        <v>96369875</v>
      </c>
      <c r="F15" s="11">
        <f>[1]world_population_Raw_Data!M8</f>
        <v>122288383</v>
      </c>
      <c r="G15" s="18">
        <f t="shared" si="2"/>
        <v>0.26894823719549288</v>
      </c>
      <c r="H15" s="39">
        <f t="shared" si="3"/>
        <v>1.0241047740248839</v>
      </c>
      <c r="I15" s="11">
        <f>[1]world_population_Raw_Data!L8</f>
        <v>150706446</v>
      </c>
      <c r="J15" s="18">
        <f t="shared" si="4"/>
        <v>0.23238563061218986</v>
      </c>
      <c r="K15" s="39">
        <f t="shared" si="5"/>
        <v>1.021115015610579</v>
      </c>
      <c r="L15" s="11">
        <f>[1]world_population_Raw_Data!K8</f>
        <v>175873720</v>
      </c>
      <c r="M15" s="18">
        <f t="shared" si="6"/>
        <v>0.16699533873952546</v>
      </c>
      <c r="N15" s="39">
        <f t="shared" si="7"/>
        <v>1.5563098904086914E-2</v>
      </c>
      <c r="O15" s="11">
        <f>[1]world_population_Raw_Data!J8</f>
        <v>196353492</v>
      </c>
      <c r="P15" s="18">
        <f t="shared" si="8"/>
        <v>0.11644589083576556</v>
      </c>
      <c r="Q15" s="39">
        <f t="shared" si="9"/>
        <v>1.1075921624746021E-2</v>
      </c>
      <c r="R15" s="11">
        <f>[1]world_population_Raw_Data!I8</f>
        <v>205188205</v>
      </c>
      <c r="S15" s="18">
        <f t="shared" si="10"/>
        <v>4.4993918417300161E-2</v>
      </c>
      <c r="T15" s="39">
        <f t="shared" si="11"/>
        <v>8.8410665337288474E-3</v>
      </c>
      <c r="U15" s="11">
        <f>[1]world_population_Raw_Data!H8</f>
        <v>213196304</v>
      </c>
      <c r="V15" s="18">
        <f t="shared" si="12"/>
        <v>3.9028066939812645E-2</v>
      </c>
      <c r="W15" s="39">
        <f t="shared" si="13"/>
        <v>7.6865359377067399E-3</v>
      </c>
      <c r="X15" s="11">
        <f>[1]world_population_Raw_Data!G8</f>
        <v>215313498</v>
      </c>
      <c r="Y15" s="18">
        <f t="shared" si="0"/>
        <v>9.9307256283392223E-3</v>
      </c>
      <c r="Z15" s="39">
        <f t="shared" si="14"/>
        <v>4.9530962330228689E-3</v>
      </c>
      <c r="AA15" s="19">
        <f t="shared" si="1"/>
        <v>2.7003945912228662E-2</v>
      </c>
      <c r="AB15" s="45">
        <f t="shared" si="15"/>
        <v>1.5579761626140609E-2</v>
      </c>
      <c r="AC15" s="81">
        <f t="shared" si="16"/>
        <v>243659617.589261</v>
      </c>
      <c r="AD15" s="81"/>
    </row>
    <row r="16" spans="2:36">
      <c r="B16" s="8">
        <f>[1]world_population_Raw_Data!B9</f>
        <v>8</v>
      </c>
      <c r="C16" s="9" t="str">
        <f>[1]world_population_Raw_Data!D9</f>
        <v>Bangladesh</v>
      </c>
      <c r="D16" s="10" t="str">
        <f>[1]world_population_Raw_Data!F9</f>
        <v>Asia</v>
      </c>
      <c r="E16" s="11">
        <f>[1]world_population_Raw_Data!N9</f>
        <v>67541860</v>
      </c>
      <c r="F16" s="11">
        <f>[1]world_population_Raw_Data!M9</f>
        <v>83929765</v>
      </c>
      <c r="G16" s="18">
        <f t="shared" si="2"/>
        <v>0.24263330918041048</v>
      </c>
      <c r="H16" s="39">
        <f t="shared" si="3"/>
        <v>1.0219609446594931</v>
      </c>
      <c r="I16" s="11">
        <f>[1]world_population_Raw_Data!L9</f>
        <v>107147651</v>
      </c>
      <c r="J16" s="18">
        <f t="shared" si="4"/>
        <v>0.27663470760343484</v>
      </c>
      <c r="K16" s="39">
        <f t="shared" si="5"/>
        <v>1.0247234262180058</v>
      </c>
      <c r="L16" s="11">
        <f>[1]world_population_Raw_Data!K9</f>
        <v>129193327</v>
      </c>
      <c r="M16" s="18">
        <f t="shared" si="6"/>
        <v>0.20575043684345445</v>
      </c>
      <c r="N16" s="39">
        <f t="shared" si="7"/>
        <v>1.888634706439829E-2</v>
      </c>
      <c r="O16" s="11">
        <f>[1]world_population_Raw_Data!J9</f>
        <v>148391139</v>
      </c>
      <c r="P16" s="18">
        <f t="shared" si="8"/>
        <v>0.14859755101747632</v>
      </c>
      <c r="Q16" s="39">
        <f t="shared" si="9"/>
        <v>1.3950581441150689E-2</v>
      </c>
      <c r="R16" s="11">
        <f>[1]world_population_Raw_Data!I9</f>
        <v>157830000</v>
      </c>
      <c r="S16" s="18">
        <f t="shared" si="10"/>
        <v>6.360798268419518E-2</v>
      </c>
      <c r="T16" s="39">
        <f t="shared" si="11"/>
        <v>1.240974687906049E-2</v>
      </c>
      <c r="U16" s="11">
        <f>[1]world_population_Raw_Data!H9</f>
        <v>167420951</v>
      </c>
      <c r="V16" s="18">
        <f t="shared" si="12"/>
        <v>6.0767604384464297E-2</v>
      </c>
      <c r="W16" s="39">
        <f t="shared" si="13"/>
        <v>1.1868437785460317E-2</v>
      </c>
      <c r="X16" s="11">
        <f>[1]world_population_Raw_Data!G9</f>
        <v>171186372</v>
      </c>
      <c r="Y16" s="18">
        <f t="shared" si="0"/>
        <v>2.2490739525186428E-2</v>
      </c>
      <c r="Z16" s="39">
        <f t="shared" si="14"/>
        <v>1.1182841787372499E-2</v>
      </c>
      <c r="AA16" s="19">
        <f t="shared" si="1"/>
        <v>2.1469659697780096E-2</v>
      </c>
      <c r="AB16" s="45">
        <f t="shared" si="15"/>
        <v>1.8045606662919544E-2</v>
      </c>
      <c r="AC16" s="81">
        <f t="shared" si="16"/>
        <v>197518173.29673555</v>
      </c>
      <c r="AD16" s="81"/>
    </row>
    <row r="17" spans="2:30">
      <c r="B17" s="8">
        <f>[1]world_population_Raw_Data!B10</f>
        <v>9</v>
      </c>
      <c r="C17" s="9" t="str">
        <f>[1]world_population_Raw_Data!D10</f>
        <v>Russia</v>
      </c>
      <c r="D17" s="10" t="str">
        <f>[1]world_population_Raw_Data!F10</f>
        <v>Europe</v>
      </c>
      <c r="E17" s="11">
        <f>[1]world_population_Raw_Data!N10</f>
        <v>130093010</v>
      </c>
      <c r="F17" s="11">
        <f>[1]world_population_Raw_Data!M10</f>
        <v>138257420</v>
      </c>
      <c r="G17" s="18">
        <f t="shared" si="2"/>
        <v>6.2758252730104408E-2</v>
      </c>
      <c r="H17" s="39">
        <f t="shared" si="3"/>
        <v>1.0061053273655352</v>
      </c>
      <c r="I17" s="11">
        <f>[1]world_population_Raw_Data!L10</f>
        <v>148005704</v>
      </c>
      <c r="J17" s="18">
        <f t="shared" si="4"/>
        <v>7.0508215761584447E-2</v>
      </c>
      <c r="K17" s="39">
        <f t="shared" si="5"/>
        <v>1.0068366140475249</v>
      </c>
      <c r="L17" s="11">
        <f>[1]world_population_Raw_Data!K10</f>
        <v>146844839</v>
      </c>
      <c r="M17" s="18">
        <f t="shared" si="6"/>
        <v>-7.8433801443220045E-3</v>
      </c>
      <c r="N17" s="39">
        <f t="shared" si="7"/>
        <v>-7.8712018230076009E-4</v>
      </c>
      <c r="O17" s="11">
        <f>[1]world_population_Raw_Data!J10</f>
        <v>143242599</v>
      </c>
      <c r="P17" s="18">
        <f t="shared" si="8"/>
        <v>-2.4530926824060873E-2</v>
      </c>
      <c r="Q17" s="39">
        <f t="shared" si="9"/>
        <v>-2.4806005113270357E-3</v>
      </c>
      <c r="R17" s="11">
        <f>[1]world_population_Raw_Data!I10</f>
        <v>144668389</v>
      </c>
      <c r="S17" s="18">
        <f t="shared" si="10"/>
        <v>9.9536730690009331E-3</v>
      </c>
      <c r="T17" s="39">
        <f t="shared" si="11"/>
        <v>1.9828555738314879E-3</v>
      </c>
      <c r="U17" s="11">
        <f>[1]world_population_Raw_Data!H10</f>
        <v>145617329</v>
      </c>
      <c r="V17" s="18">
        <f t="shared" si="12"/>
        <v>6.55941499424591E-3</v>
      </c>
      <c r="W17" s="39">
        <f t="shared" si="13"/>
        <v>1.3084544097461404E-3</v>
      </c>
      <c r="X17" s="11">
        <f>[1]world_population_Raw_Data!G10</f>
        <v>144713314</v>
      </c>
      <c r="Y17" s="18">
        <f t="shared" si="0"/>
        <v>-6.2081553494227329E-3</v>
      </c>
      <c r="Z17" s="39">
        <f t="shared" si="14"/>
        <v>-3.1089103364514425E-3</v>
      </c>
      <c r="AA17" s="19">
        <f t="shared" si="1"/>
        <v>1.8149491510445679E-2</v>
      </c>
      <c r="AB17" s="45">
        <f t="shared" si="15"/>
        <v>2.0502717133898951E-3</v>
      </c>
      <c r="AC17" s="81">
        <f t="shared" si="16"/>
        <v>147104029.86747959</v>
      </c>
      <c r="AD17" s="81"/>
    </row>
    <row r="18" spans="2:30">
      <c r="B18" s="8">
        <f>[1]world_population_Raw_Data!B11</f>
        <v>10</v>
      </c>
      <c r="C18" s="9" t="str">
        <f>[1]world_population_Raw_Data!D11</f>
        <v>Mexico</v>
      </c>
      <c r="D18" s="10" t="str">
        <f>[1]world_population_Raw_Data!F11</f>
        <v>North America</v>
      </c>
      <c r="E18" s="11">
        <f>[1]world_population_Raw_Data!N11</f>
        <v>50289306</v>
      </c>
      <c r="F18" s="11">
        <f>[1]world_population_Raw_Data!M11</f>
        <v>67705186</v>
      </c>
      <c r="G18" s="18">
        <f t="shared" si="2"/>
        <v>0.34631378687150705</v>
      </c>
      <c r="H18" s="39">
        <f t="shared" si="3"/>
        <v>1.0301835939917874</v>
      </c>
      <c r="I18" s="11">
        <f>[1]world_population_Raw_Data!L11</f>
        <v>81720428</v>
      </c>
      <c r="J18" s="18">
        <f t="shared" si="4"/>
        <v>0.20700396569326315</v>
      </c>
      <c r="K18" s="39">
        <f t="shared" si="5"/>
        <v>1.0189922235599729</v>
      </c>
      <c r="L18" s="11">
        <f>[1]world_population_Raw_Data!K11</f>
        <v>97873442</v>
      </c>
      <c r="M18" s="18">
        <f t="shared" si="6"/>
        <v>0.1976618869397013</v>
      </c>
      <c r="N18" s="39">
        <f t="shared" si="7"/>
        <v>1.8200774211930337E-2</v>
      </c>
      <c r="O18" s="11">
        <f>[1]world_population_Raw_Data!J11</f>
        <v>112532401</v>
      </c>
      <c r="P18" s="18">
        <f t="shared" si="8"/>
        <v>0.14977463447132064</v>
      </c>
      <c r="Q18" s="39">
        <f t="shared" si="9"/>
        <v>1.4054443269125638E-2</v>
      </c>
      <c r="R18" s="11">
        <f>[1]world_population_Raw_Data!I11</f>
        <v>120149897</v>
      </c>
      <c r="S18" s="18">
        <f t="shared" si="10"/>
        <v>6.7691579778876312E-2</v>
      </c>
      <c r="T18" s="39">
        <f t="shared" si="11"/>
        <v>1.3185961223729725E-2</v>
      </c>
      <c r="U18" s="11">
        <f>[1]world_population_Raw_Data!H11</f>
        <v>125998302</v>
      </c>
      <c r="V18" s="18">
        <f t="shared" si="12"/>
        <v>4.8675905231945392E-2</v>
      </c>
      <c r="W18" s="39">
        <f t="shared" si="13"/>
        <v>9.5509874774015735E-3</v>
      </c>
      <c r="X18" s="11">
        <f>[1]world_population_Raw_Data!G11</f>
        <v>127504125</v>
      </c>
      <c r="Y18" s="18">
        <f t="shared" si="0"/>
        <v>1.1951137246278129E-2</v>
      </c>
      <c r="Z18" s="39">
        <f t="shared" si="14"/>
        <v>5.9578208087445184E-3</v>
      </c>
      <c r="AA18" s="19">
        <f t="shared" si="1"/>
        <v>1.5991168816950077E-2</v>
      </c>
      <c r="AB18" s="45">
        <f t="shared" si="15"/>
        <v>1.8052477768921271E-2</v>
      </c>
      <c r="AC18" s="81">
        <f t="shared" si="16"/>
        <v>147124688.80200568</v>
      </c>
      <c r="AD18" s="81"/>
    </row>
    <row r="19" spans="2:30">
      <c r="B19" s="8">
        <f>[1]world_population_Raw_Data!B12</f>
        <v>11</v>
      </c>
      <c r="C19" s="9" t="str">
        <f>[1]world_population_Raw_Data!D12</f>
        <v>Japan</v>
      </c>
      <c r="D19" s="10" t="str">
        <f>[1]world_population_Raw_Data!F12</f>
        <v>Asia</v>
      </c>
      <c r="E19" s="11">
        <f>[1]world_population_Raw_Data!N12</f>
        <v>105416839</v>
      </c>
      <c r="F19" s="11">
        <f>[1]world_population_Raw_Data!M12</f>
        <v>117624196</v>
      </c>
      <c r="G19" s="18">
        <f t="shared" si="2"/>
        <v>0.1158008257105869</v>
      </c>
      <c r="H19" s="39">
        <f t="shared" si="3"/>
        <v>1.0110174880311518</v>
      </c>
      <c r="I19" s="11">
        <f>[1]world_population_Raw_Data!L12</f>
        <v>123686321</v>
      </c>
      <c r="J19" s="18">
        <f t="shared" si="4"/>
        <v>5.1538078100869654E-2</v>
      </c>
      <c r="K19" s="39">
        <f t="shared" si="5"/>
        <v>1.0050380413286613</v>
      </c>
      <c r="L19" s="11">
        <f>[1]world_population_Raw_Data!K12</f>
        <v>126803861</v>
      </c>
      <c r="M19" s="18">
        <f t="shared" si="6"/>
        <v>2.5205212466461832E-2</v>
      </c>
      <c r="N19" s="39">
        <f t="shared" si="7"/>
        <v>2.49238081342118E-3</v>
      </c>
      <c r="O19" s="11">
        <f>[1]world_population_Raw_Data!J12</f>
        <v>128105431</v>
      </c>
      <c r="P19" s="18">
        <f t="shared" si="8"/>
        <v>1.0264435086877993E-2</v>
      </c>
      <c r="Q19" s="39">
        <f t="shared" si="9"/>
        <v>1.0217329641353246E-3</v>
      </c>
      <c r="R19" s="11">
        <f>[1]world_population_Raw_Data!I12</f>
        <v>127250933</v>
      </c>
      <c r="S19" s="18">
        <f t="shared" si="10"/>
        <v>-6.6702714578900247E-3</v>
      </c>
      <c r="T19" s="39">
        <f t="shared" si="11"/>
        <v>-1.3376280054421263E-3</v>
      </c>
      <c r="U19" s="11">
        <f>[1]world_population_Raw_Data!H12</f>
        <v>125244761</v>
      </c>
      <c r="V19" s="18">
        <f t="shared" si="12"/>
        <v>-1.5765479692003516E-2</v>
      </c>
      <c r="W19" s="39">
        <f t="shared" si="13"/>
        <v>-3.1731701560430148E-3</v>
      </c>
      <c r="X19" s="11">
        <f>[1]world_population_Raw_Data!G12</f>
        <v>123951692</v>
      </c>
      <c r="Y19" s="18">
        <f t="shared" si="0"/>
        <v>-1.0324336041489192E-2</v>
      </c>
      <c r="Z19" s="39">
        <f t="shared" si="14"/>
        <v>-5.1755612378077132E-3</v>
      </c>
      <c r="AA19" s="19">
        <f t="shared" si="1"/>
        <v>1.5545633773955158E-2</v>
      </c>
      <c r="AB19" s="45">
        <f t="shared" si="15"/>
        <v>3.1196545427227829E-3</v>
      </c>
      <c r="AC19" s="81">
        <f t="shared" si="16"/>
        <v>127079172.4311204</v>
      </c>
      <c r="AD19" s="81"/>
    </row>
    <row r="20" spans="2:30">
      <c r="B20" s="8">
        <f>[1]world_population_Raw_Data!B13</f>
        <v>12</v>
      </c>
      <c r="C20" s="9" t="str">
        <f>[1]world_population_Raw_Data!D13</f>
        <v>Ethiopia</v>
      </c>
      <c r="D20" s="10" t="str">
        <f>[1]world_population_Raw_Data!F13</f>
        <v>Africa</v>
      </c>
      <c r="E20" s="11">
        <f>[1]world_population_Raw_Data!N13</f>
        <v>28308246</v>
      </c>
      <c r="F20" s="11">
        <f>[1]world_population_Raw_Data!M13</f>
        <v>34945469</v>
      </c>
      <c r="G20" s="18">
        <f t="shared" si="2"/>
        <v>0.23446253081169352</v>
      </c>
      <c r="H20" s="39">
        <f t="shared" si="3"/>
        <v>1.0212869705022907</v>
      </c>
      <c r="I20" s="48">
        <f>[1]world_population_Raw_Data!L13</f>
        <v>47878073</v>
      </c>
      <c r="J20" s="18">
        <f t="shared" si="4"/>
        <v>0.37007956596604841</v>
      </c>
      <c r="K20" s="39">
        <f t="shared" si="5"/>
        <v>1.0319878374261129</v>
      </c>
      <c r="L20" s="11">
        <f>[1]world_population_Raw_Data!K13</f>
        <v>67031867</v>
      </c>
      <c r="M20" s="18">
        <f t="shared" si="6"/>
        <v>0.40005356940744041</v>
      </c>
      <c r="N20" s="39">
        <f t="shared" si="7"/>
        <v>3.4223651385254517E-2</v>
      </c>
      <c r="O20" s="11">
        <f>[1]world_population_Raw_Data!J13</f>
        <v>89237791</v>
      </c>
      <c r="P20" s="18">
        <f t="shared" si="8"/>
        <v>0.33127413861231109</v>
      </c>
      <c r="Q20" s="39">
        <f t="shared" si="9"/>
        <v>2.902695131208799E-2</v>
      </c>
      <c r="R20" s="11">
        <f>[1]world_population_Raw_Data!I13</f>
        <v>102471895</v>
      </c>
      <c r="S20" s="18">
        <f t="shared" si="10"/>
        <v>0.14830156430026378</v>
      </c>
      <c r="T20" s="39">
        <f t="shared" si="11"/>
        <v>2.8042789315815941E-2</v>
      </c>
      <c r="U20" s="11">
        <f>[1]world_population_Raw_Data!H13</f>
        <v>117190911</v>
      </c>
      <c r="V20" s="18">
        <f t="shared" si="12"/>
        <v>0.14363954135912096</v>
      </c>
      <c r="W20" s="39">
        <f t="shared" si="13"/>
        <v>2.7206674215711102E-2</v>
      </c>
      <c r="X20" s="11">
        <f>[1]world_population_Raw_Data!G13</f>
        <v>123379924</v>
      </c>
      <c r="Y20" s="18">
        <f t="shared" si="0"/>
        <v>5.2811373742115544E-2</v>
      </c>
      <c r="Z20" s="39">
        <f t="shared" si="14"/>
        <v>2.6065969488373364E-2</v>
      </c>
      <c r="AA20" s="19">
        <f t="shared" si="1"/>
        <v>1.547392441857446E-2</v>
      </c>
      <c r="AB20" s="45">
        <f t="shared" si="15"/>
        <v>2.871444288019398E-2</v>
      </c>
      <c r="AC20" s="81">
        <f t="shared" si="16"/>
        <v>154740215.18156967</v>
      </c>
      <c r="AD20" s="81"/>
    </row>
    <row r="21" spans="2:30">
      <c r="B21" s="8">
        <f>[1]world_population_Raw_Data!B14</f>
        <v>13</v>
      </c>
      <c r="C21" s="9" t="str">
        <f>[1]world_population_Raw_Data!D14</f>
        <v>Philippines</v>
      </c>
      <c r="D21" s="10" t="str">
        <f>[1]world_population_Raw_Data!F14</f>
        <v>Asia</v>
      </c>
      <c r="E21" s="11">
        <f>[1]world_population_Raw_Data!N14</f>
        <v>37435586</v>
      </c>
      <c r="F21" s="11">
        <f>[1]world_population_Raw_Data!M14</f>
        <v>48419546</v>
      </c>
      <c r="G21" s="18">
        <f t="shared" si="2"/>
        <v>0.29340959161157515</v>
      </c>
      <c r="H21" s="39">
        <f t="shared" si="3"/>
        <v>1.0260620090383552</v>
      </c>
      <c r="I21" s="11">
        <f>[1]world_population_Raw_Data!L14</f>
        <v>61558898</v>
      </c>
      <c r="J21" s="18">
        <f t="shared" si="4"/>
        <v>0.27136462617803148</v>
      </c>
      <c r="K21" s="39">
        <f t="shared" si="5"/>
        <v>1.0242996218077367</v>
      </c>
      <c r="L21" s="11">
        <f>[1]world_population_Raw_Data!K14</f>
        <v>77958223</v>
      </c>
      <c r="M21" s="18">
        <f t="shared" si="6"/>
        <v>0.26640056162148973</v>
      </c>
      <c r="N21" s="39">
        <f t="shared" si="7"/>
        <v>2.3898977849021952E-2</v>
      </c>
      <c r="O21" s="11">
        <f>[1]world_population_Raw_Data!J14</f>
        <v>94636700</v>
      </c>
      <c r="P21" s="18">
        <f t="shared" si="8"/>
        <v>0.21394121566880764</v>
      </c>
      <c r="Q21" s="39">
        <f t="shared" si="9"/>
        <v>1.9576379633486463E-2</v>
      </c>
      <c r="R21" s="11">
        <f>[1]world_population_Raw_Data!I14</f>
        <v>103031365</v>
      </c>
      <c r="S21" s="18">
        <f t="shared" si="10"/>
        <v>8.870411795846643E-2</v>
      </c>
      <c r="T21" s="39">
        <f t="shared" si="11"/>
        <v>1.7142902814549776E-2</v>
      </c>
      <c r="U21" s="11">
        <f>[1]world_population_Raw_Data!H14</f>
        <v>112190977</v>
      </c>
      <c r="V21" s="18">
        <f t="shared" si="12"/>
        <v>8.8901200134541558E-2</v>
      </c>
      <c r="W21" s="39">
        <f t="shared" si="13"/>
        <v>1.7179725716127914E-2</v>
      </c>
      <c r="X21" s="11">
        <f>[1]world_population_Raw_Data!G14</f>
        <v>115559009</v>
      </c>
      <c r="Y21" s="18">
        <f t="shared" si="0"/>
        <v>3.002052473435542E-2</v>
      </c>
      <c r="Z21" s="39">
        <f t="shared" si="14"/>
        <v>1.4899268269691568E-2</v>
      </c>
      <c r="AA21" s="19">
        <f t="shared" si="1"/>
        <v>1.4493049705164074E-2</v>
      </c>
      <c r="AB21" s="45">
        <f t="shared" si="15"/>
        <v>2.191277951906323E-2</v>
      </c>
      <c r="AC21" s="81">
        <f t="shared" si="16"/>
        <v>137440412.776878</v>
      </c>
      <c r="AD21" s="81"/>
    </row>
    <row r="22" spans="2:30">
      <c r="B22" s="8">
        <f>[1]world_population_Raw_Data!B15</f>
        <v>14</v>
      </c>
      <c r="C22" s="9" t="str">
        <f>[1]world_population_Raw_Data!D15</f>
        <v>Egypt</v>
      </c>
      <c r="D22" s="10" t="str">
        <f>[1]world_population_Raw_Data!F15</f>
        <v>Africa</v>
      </c>
      <c r="E22" s="11">
        <f>[1]world_population_Raw_Data!N15</f>
        <v>34781986</v>
      </c>
      <c r="F22" s="11">
        <f>[1]world_population_Raw_Data!M15</f>
        <v>43748556</v>
      </c>
      <c r="G22" s="18">
        <f t="shared" si="2"/>
        <v>0.25779350264818118</v>
      </c>
      <c r="H22" s="39">
        <f t="shared" si="3"/>
        <v>1.0232009500049237</v>
      </c>
      <c r="I22" s="11">
        <f>[1]world_population_Raw_Data!L15</f>
        <v>57214630</v>
      </c>
      <c r="J22" s="18">
        <f t="shared" si="4"/>
        <v>0.30780613650425398</v>
      </c>
      <c r="K22" s="39">
        <f t="shared" si="5"/>
        <v>1.0271984066941526</v>
      </c>
      <c r="L22" s="11">
        <f>[1]world_population_Raw_Data!K15</f>
        <v>71371371</v>
      </c>
      <c r="M22" s="18">
        <f t="shared" si="6"/>
        <v>0.24743218648796644</v>
      </c>
      <c r="N22" s="39">
        <f t="shared" si="7"/>
        <v>2.2354927592480589E-2</v>
      </c>
      <c r="O22" s="11">
        <f>[1]world_population_Raw_Data!J15</f>
        <v>87252413</v>
      </c>
      <c r="P22" s="18">
        <f t="shared" si="8"/>
        <v>0.2225127775673526</v>
      </c>
      <c r="Q22" s="39">
        <f t="shared" si="9"/>
        <v>2.0294018745377063E-2</v>
      </c>
      <c r="R22" s="11">
        <f>[1]world_population_Raw_Data!I15</f>
        <v>97723799</v>
      </c>
      <c r="S22" s="18">
        <f t="shared" si="10"/>
        <v>0.12001256630002886</v>
      </c>
      <c r="T22" s="39">
        <f t="shared" si="11"/>
        <v>2.2926852040172419E-2</v>
      </c>
      <c r="U22" s="11">
        <f>[1]world_population_Raw_Data!H15</f>
        <v>107465134</v>
      </c>
      <c r="V22" s="18">
        <f t="shared" si="12"/>
        <v>9.9682319963840124E-2</v>
      </c>
      <c r="W22" s="39">
        <f t="shared" si="13"/>
        <v>1.9185998098663726E-2</v>
      </c>
      <c r="X22" s="11">
        <f>[1]world_population_Raw_Data!G15</f>
        <v>110990103</v>
      </c>
      <c r="Y22" s="18">
        <f t="shared" si="0"/>
        <v>3.2801047826358266E-2</v>
      </c>
      <c r="Z22" s="39">
        <f t="shared" si="14"/>
        <v>1.6268196799623436E-2</v>
      </c>
      <c r="AA22" s="19">
        <f t="shared" si="1"/>
        <v>1.3920031795706037E-2</v>
      </c>
      <c r="AB22" s="45">
        <f t="shared" si="15"/>
        <v>2.2565083438912614E-2</v>
      </c>
      <c r="AC22" s="81">
        <f t="shared" si="16"/>
        <v>132681975.17534958</v>
      </c>
      <c r="AD22" s="81"/>
    </row>
    <row r="23" spans="2:30">
      <c r="B23" s="8">
        <f>[1]world_population_Raw_Data!B16</f>
        <v>15</v>
      </c>
      <c r="C23" s="9" t="str">
        <f>[1]world_population_Raw_Data!D16</f>
        <v>DR Congo</v>
      </c>
      <c r="D23" s="10" t="str">
        <f>[1]world_population_Raw_Data!F16</f>
        <v>Africa</v>
      </c>
      <c r="E23" s="11">
        <f>[1]world_population_Raw_Data!N16</f>
        <v>20151733</v>
      </c>
      <c r="F23" s="11">
        <f>[1]world_population_Raw_Data!M16</f>
        <v>26708686</v>
      </c>
      <c r="G23" s="18">
        <f t="shared" si="2"/>
        <v>0.3253791125557291</v>
      </c>
      <c r="H23" s="39">
        <f t="shared" si="3"/>
        <v>1.0285703765007155</v>
      </c>
      <c r="I23" s="11">
        <f>[1]world_population_Raw_Data!L16</f>
        <v>35987541</v>
      </c>
      <c r="J23" s="18">
        <f t="shared" si="4"/>
        <v>0.34740964044431089</v>
      </c>
      <c r="K23" s="39">
        <f t="shared" si="5"/>
        <v>1.0302674167295678</v>
      </c>
      <c r="L23" s="11">
        <f>[1]world_population_Raw_Data!K16</f>
        <v>48616317</v>
      </c>
      <c r="M23" s="18">
        <f t="shared" si="6"/>
        <v>0.35092078116701553</v>
      </c>
      <c r="N23" s="39">
        <f t="shared" si="7"/>
        <v>3.0535574153425893E-2</v>
      </c>
      <c r="O23" s="11">
        <f>[1]world_population_Raw_Data!J16</f>
        <v>66391257</v>
      </c>
      <c r="P23" s="18">
        <f t="shared" si="8"/>
        <v>0.36561675373311392</v>
      </c>
      <c r="Q23" s="39">
        <f t="shared" si="9"/>
        <v>3.1651190353147562E-2</v>
      </c>
      <c r="R23" s="11">
        <f>[1]world_population_Raw_Data!I16</f>
        <v>78656904</v>
      </c>
      <c r="S23" s="18">
        <f t="shared" si="10"/>
        <v>0.18474792546855981</v>
      </c>
      <c r="T23" s="39">
        <f t="shared" si="11"/>
        <v>3.4487366725455493E-2</v>
      </c>
      <c r="U23" s="11">
        <f>[1]world_population_Raw_Data!H16</f>
        <v>92853164</v>
      </c>
      <c r="V23" s="18">
        <f t="shared" si="12"/>
        <v>0.18048333049060766</v>
      </c>
      <c r="W23" s="39">
        <f t="shared" si="13"/>
        <v>3.3741548083261463E-2</v>
      </c>
      <c r="X23" s="11">
        <f>[1]world_population_Raw_Data!G16</f>
        <v>99010212</v>
      </c>
      <c r="Y23" s="18">
        <f t="shared" si="0"/>
        <v>6.6309512080816119E-2</v>
      </c>
      <c r="Z23" s="39">
        <f t="shared" si="14"/>
        <v>3.2622637792149245E-2</v>
      </c>
      <c r="AA23" s="19">
        <f t="shared" si="1"/>
        <v>1.24175513121165E-2</v>
      </c>
      <c r="AB23" s="45">
        <f t="shared" si="15"/>
        <v>3.10875206424992E-2</v>
      </c>
      <c r="AC23" s="81">
        <f t="shared" si="16"/>
        <v>126486517.37019224</v>
      </c>
      <c r="AD23" s="81"/>
    </row>
    <row r="24" spans="2:30">
      <c r="B24" s="8">
        <f>[1]world_population_Raw_Data!B17</f>
        <v>16</v>
      </c>
      <c r="C24" s="9" t="str">
        <f>[1]world_population_Raw_Data!D17</f>
        <v>Vietnam</v>
      </c>
      <c r="D24" s="10" t="str">
        <f>[1]world_population_Raw_Data!F17</f>
        <v>Asia</v>
      </c>
      <c r="E24" s="11">
        <f>[1]world_population_Raw_Data!N17</f>
        <v>41928849</v>
      </c>
      <c r="F24" s="11">
        <f>[1]world_population_Raw_Data!M17</f>
        <v>52968270</v>
      </c>
      <c r="G24" s="18">
        <f t="shared" si="2"/>
        <v>0.26328938817280673</v>
      </c>
      <c r="H24" s="39">
        <f t="shared" si="3"/>
        <v>1.0236471574885293</v>
      </c>
      <c r="I24" s="11">
        <f>[1]world_population_Raw_Data!L17</f>
        <v>66912613</v>
      </c>
      <c r="J24" s="18">
        <f t="shared" si="4"/>
        <v>0.26325841867215977</v>
      </c>
      <c r="K24" s="39">
        <f t="shared" si="5"/>
        <v>1.0236446479929748</v>
      </c>
      <c r="L24" s="11">
        <f>[1]world_population_Raw_Data!K17</f>
        <v>79001142</v>
      </c>
      <c r="M24" s="18">
        <f t="shared" si="6"/>
        <v>0.18066143971989257</v>
      </c>
      <c r="N24" s="39">
        <f t="shared" si="7"/>
        <v>1.6746153186121271E-2</v>
      </c>
      <c r="O24" s="11">
        <f>[1]world_population_Raw_Data!J17</f>
        <v>87411012</v>
      </c>
      <c r="P24" s="18">
        <f t="shared" si="8"/>
        <v>0.106452511787741</v>
      </c>
      <c r="Q24" s="39">
        <f t="shared" si="9"/>
        <v>1.0167234853089679E-2</v>
      </c>
      <c r="R24" s="11">
        <f>[1]world_population_Raw_Data!I17</f>
        <v>92191398</v>
      </c>
      <c r="S24" s="18">
        <f t="shared" si="10"/>
        <v>5.468860147735162E-2</v>
      </c>
      <c r="T24" s="39">
        <f t="shared" si="11"/>
        <v>1.0706015378770362E-2</v>
      </c>
      <c r="U24" s="11">
        <f>[1]world_population_Raw_Data!H17</f>
        <v>96648685</v>
      </c>
      <c r="V24" s="18">
        <f t="shared" si="12"/>
        <v>4.8348187539145465E-2</v>
      </c>
      <c r="W24" s="39">
        <f t="shared" si="13"/>
        <v>9.4878814055889826E-3</v>
      </c>
      <c r="X24" s="11">
        <f>[1]world_population_Raw_Data!G17</f>
        <v>98186856</v>
      </c>
      <c r="Y24" s="18">
        <f t="shared" si="0"/>
        <v>1.5915074271315745E-2</v>
      </c>
      <c r="Z24" s="39">
        <f t="shared" si="14"/>
        <v>7.9261254037001905E-3</v>
      </c>
      <c r="AA24" s="19">
        <f t="shared" si="1"/>
        <v>1.2314288576166203E-2</v>
      </c>
      <c r="AB24" s="45">
        <f t="shared" si="15"/>
        <v>1.6498041955776088E-2</v>
      </c>
      <c r="AC24" s="81">
        <f t="shared" si="16"/>
        <v>111919490.69188842</v>
      </c>
      <c r="AD24" s="81"/>
    </row>
    <row r="25" spans="2:30">
      <c r="B25" s="8">
        <f>[1]world_population_Raw_Data!B18</f>
        <v>17</v>
      </c>
      <c r="C25" s="9" t="str">
        <f>[1]world_population_Raw_Data!D18</f>
        <v>Iran</v>
      </c>
      <c r="D25" s="10" t="str">
        <f>[1]world_population_Raw_Data!F18</f>
        <v>Asia</v>
      </c>
      <c r="E25" s="11">
        <f>[1]world_population_Raw_Data!N18</f>
        <v>28449705</v>
      </c>
      <c r="F25" s="11">
        <f>[1]world_population_Raw_Data!M18</f>
        <v>38520664</v>
      </c>
      <c r="G25" s="18">
        <f t="shared" si="2"/>
        <v>0.35399168462379488</v>
      </c>
      <c r="H25" s="39">
        <f t="shared" si="3"/>
        <v>1.0307695954736498</v>
      </c>
      <c r="I25" s="11">
        <f>[1]world_population_Raw_Data!L18</f>
        <v>55793629</v>
      </c>
      <c r="J25" s="18">
        <f t="shared" si="4"/>
        <v>0.44840776887958111</v>
      </c>
      <c r="K25" s="39">
        <f t="shared" si="5"/>
        <v>1.0377412604333458</v>
      </c>
      <c r="L25" s="11">
        <f>[1]world_population_Raw_Data!K18</f>
        <v>65544383</v>
      </c>
      <c r="M25" s="18">
        <f t="shared" si="6"/>
        <v>0.17476464920394405</v>
      </c>
      <c r="N25" s="39">
        <f t="shared" si="7"/>
        <v>1.6237196365709305E-2</v>
      </c>
      <c r="O25" s="11">
        <f>[1]world_population_Raw_Data!J18</f>
        <v>75373855</v>
      </c>
      <c r="P25" s="18">
        <f t="shared" si="8"/>
        <v>0.14996665694450126</v>
      </c>
      <c r="Q25" s="39">
        <f t="shared" si="9"/>
        <v>1.4071377597277834E-2</v>
      </c>
      <c r="R25" s="11">
        <f>[1]world_population_Raw_Data!I18</f>
        <v>81790841</v>
      </c>
      <c r="S25" s="18">
        <f t="shared" si="10"/>
        <v>8.5135435888213498E-2</v>
      </c>
      <c r="T25" s="39">
        <f t="shared" si="11"/>
        <v>1.6475204711072777E-2</v>
      </c>
      <c r="U25" s="11">
        <f>[1]world_population_Raw_Data!H18</f>
        <v>87290193</v>
      </c>
      <c r="V25" s="18">
        <f t="shared" si="12"/>
        <v>6.7236770434968382E-2</v>
      </c>
      <c r="W25" s="39">
        <f t="shared" si="13"/>
        <v>1.3099628243720796E-2</v>
      </c>
      <c r="X25" s="11">
        <f>[1]world_population_Raw_Data!G18</f>
        <v>88550570</v>
      </c>
      <c r="Y25" s="18">
        <f t="shared" si="0"/>
        <v>1.443893015564761E-2</v>
      </c>
      <c r="Z25" s="39">
        <f t="shared" si="14"/>
        <v>7.1935912006428904E-3</v>
      </c>
      <c r="AA25" s="19">
        <f t="shared" si="1"/>
        <v>1.1105735706253856E-2</v>
      </c>
      <c r="AB25" s="45">
        <f t="shared" si="15"/>
        <v>2.2075442837840242E-2</v>
      </c>
      <c r="AC25" s="81">
        <f t="shared" si="16"/>
        <v>105452041.25448717</v>
      </c>
      <c r="AD25" s="81"/>
    </row>
    <row r="26" spans="2:30">
      <c r="B26" s="8">
        <f>[1]world_population_Raw_Data!B19</f>
        <v>18</v>
      </c>
      <c r="C26" s="9" t="str">
        <f>[1]world_population_Raw_Data!D19</f>
        <v>Turkey</v>
      </c>
      <c r="D26" s="10" t="str">
        <f>[1]world_population_Raw_Data!F19</f>
        <v>Asia</v>
      </c>
      <c r="E26" s="11">
        <f>[1]world_population_Raw_Data!N19</f>
        <v>35540990</v>
      </c>
      <c r="F26" s="11">
        <f>[1]world_population_Raw_Data!M19</f>
        <v>44089069</v>
      </c>
      <c r="G26" s="18">
        <f t="shared" si="2"/>
        <v>0.24051324963091911</v>
      </c>
      <c r="H26" s="39">
        <f t="shared" si="3"/>
        <v>1.0217864536607459</v>
      </c>
      <c r="I26" s="11">
        <f>[1]world_population_Raw_Data!L19</f>
        <v>54324142</v>
      </c>
      <c r="J26" s="18">
        <f t="shared" si="4"/>
        <v>0.23214536464809452</v>
      </c>
      <c r="K26" s="39">
        <f t="shared" si="5"/>
        <v>1.0210951062003795</v>
      </c>
      <c r="L26" s="11">
        <f>[1]world_population_Raw_Data!K19</f>
        <v>64113547</v>
      </c>
      <c r="M26" s="18">
        <f t="shared" si="6"/>
        <v>0.18020358241461043</v>
      </c>
      <c r="N26" s="39">
        <f t="shared" si="7"/>
        <v>1.6706717163542217E-2</v>
      </c>
      <c r="O26" s="11">
        <f>[1]world_population_Raw_Data!J19</f>
        <v>73195345</v>
      </c>
      <c r="P26" s="18">
        <f t="shared" si="8"/>
        <v>0.14165177914739299</v>
      </c>
      <c r="Q26" s="39">
        <f t="shared" si="9"/>
        <v>1.3335752699750181E-2</v>
      </c>
      <c r="R26" s="11">
        <f>[1]world_population_Raw_Data!I19</f>
        <v>79646178</v>
      </c>
      <c r="S26" s="18">
        <f t="shared" si="10"/>
        <v>8.813173843227326E-2</v>
      </c>
      <c r="T26" s="39">
        <f t="shared" si="11"/>
        <v>1.7035928984779458E-2</v>
      </c>
      <c r="U26" s="11">
        <f>[1]world_population_Raw_Data!H19</f>
        <v>84135428</v>
      </c>
      <c r="V26" s="18">
        <f t="shared" si="12"/>
        <v>5.6364914333993529E-2</v>
      </c>
      <c r="W26" s="39">
        <f t="shared" si="13"/>
        <v>1.1027092780204306E-2</v>
      </c>
      <c r="X26" s="11">
        <f>[1]world_population_Raw_Data!G19</f>
        <v>85341241</v>
      </c>
      <c r="Y26" s="18">
        <f t="shared" si="0"/>
        <v>1.4331810376004743E-2</v>
      </c>
      <c r="Z26" s="39">
        <f t="shared" si="14"/>
        <v>7.1404124430738403E-3</v>
      </c>
      <c r="AA26" s="19">
        <f t="shared" si="1"/>
        <v>1.0703231694496326E-2</v>
      </c>
      <c r="AB26" s="45">
        <f t="shared" si="15"/>
        <v>1.6988286061138114E-2</v>
      </c>
      <c r="AC26" s="81">
        <f t="shared" si="16"/>
        <v>97653217.925157353</v>
      </c>
      <c r="AD26" s="81"/>
    </row>
    <row r="27" spans="2:30">
      <c r="B27" s="8">
        <f>[1]world_population_Raw_Data!B20</f>
        <v>19</v>
      </c>
      <c r="C27" s="9" t="str">
        <f>[1]world_population_Raw_Data!D20</f>
        <v>Germany</v>
      </c>
      <c r="D27" s="10" t="str">
        <f>[1]world_population_Raw_Data!F20</f>
        <v>Europe</v>
      </c>
      <c r="E27" s="11">
        <f>[1]world_population_Raw_Data!N20</f>
        <v>78294583</v>
      </c>
      <c r="F27" s="11">
        <f>[1]world_population_Raw_Data!M20</f>
        <v>77786703</v>
      </c>
      <c r="G27" s="18">
        <f t="shared" si="2"/>
        <v>-6.4867833832131143E-3</v>
      </c>
      <c r="H27" s="39">
        <f t="shared" si="3"/>
        <v>0.99934942031960194</v>
      </c>
      <c r="I27" s="11">
        <f>[1]world_population_Raw_Data!L20</f>
        <v>79370196</v>
      </c>
      <c r="J27" s="18">
        <f t="shared" si="4"/>
        <v>2.0356859706471941E-2</v>
      </c>
      <c r="K27" s="39">
        <f t="shared" si="5"/>
        <v>1.0020172748232157</v>
      </c>
      <c r="L27" s="11">
        <f>[1]world_population_Raw_Data!K20</f>
        <v>81551677</v>
      </c>
      <c r="M27" s="18">
        <f t="shared" si="6"/>
        <v>2.7484888660222032E-2</v>
      </c>
      <c r="N27" s="39">
        <f t="shared" si="7"/>
        <v>2.7150751967126574E-3</v>
      </c>
      <c r="O27" s="11">
        <f>[1]world_population_Raw_Data!J20</f>
        <v>81325090</v>
      </c>
      <c r="P27" s="18">
        <f t="shared" si="8"/>
        <v>-2.7784468491064873E-3</v>
      </c>
      <c r="Q27" s="39">
        <f t="shared" si="9"/>
        <v>-2.7819268695028487E-4</v>
      </c>
      <c r="R27" s="11">
        <f>[1]world_population_Raw_Data!I20</f>
        <v>82073226</v>
      </c>
      <c r="S27" s="18">
        <f t="shared" si="10"/>
        <v>9.199325816915788E-3</v>
      </c>
      <c r="T27" s="39">
        <f t="shared" si="11"/>
        <v>1.8331320855844435E-3</v>
      </c>
      <c r="U27" s="11">
        <f>[1]world_population_Raw_Data!H20</f>
        <v>83328988</v>
      </c>
      <c r="V27" s="18">
        <f t="shared" si="12"/>
        <v>1.5300507378618211E-2</v>
      </c>
      <c r="W27" s="39">
        <f t="shared" si="13"/>
        <v>3.04154314613303E-3</v>
      </c>
      <c r="X27" s="11">
        <f>[1]world_population_Raw_Data!G20</f>
        <v>83369843</v>
      </c>
      <c r="Y27" s="18">
        <f t="shared" si="0"/>
        <v>4.9028556545052486E-4</v>
      </c>
      <c r="Z27" s="39">
        <f t="shared" si="14"/>
        <v>2.4511274259686466E-4</v>
      </c>
      <c r="AA27" s="19">
        <f t="shared" si="1"/>
        <v>1.0455985119349068E-2</v>
      </c>
      <c r="AB27" s="45">
        <f t="shared" si="15"/>
        <v>1.208580346791388E-3</v>
      </c>
      <c r="AC27" s="81">
        <f t="shared" si="16"/>
        <v>84179334.199335143</v>
      </c>
      <c r="AD27" s="81"/>
    </row>
    <row r="28" spans="2:30">
      <c r="B28" s="8">
        <f>[1]world_population_Raw_Data!B21</f>
        <v>20</v>
      </c>
      <c r="C28" s="9" t="str">
        <f>[1]world_population_Raw_Data!D21</f>
        <v>Thailand</v>
      </c>
      <c r="D28" s="10" t="str">
        <f>[1]world_population_Raw_Data!F21</f>
        <v>Asia</v>
      </c>
      <c r="E28" s="11">
        <f>[1]world_population_Raw_Data!N21</f>
        <v>35791728</v>
      </c>
      <c r="F28" s="11">
        <f>[1]world_population_Raw_Data!M21</f>
        <v>45737753</v>
      </c>
      <c r="G28" s="18">
        <f t="shared" si="2"/>
        <v>0.27788613614855368</v>
      </c>
      <c r="H28" s="39">
        <f t="shared" si="3"/>
        <v>1.0248238310415447</v>
      </c>
      <c r="I28" s="11">
        <f>[1]world_population_Raw_Data!L21</f>
        <v>55228410</v>
      </c>
      <c r="J28" s="18">
        <f t="shared" si="4"/>
        <v>0.20750160157627331</v>
      </c>
      <c r="K28" s="39">
        <f t="shared" si="5"/>
        <v>1.0190342278162767</v>
      </c>
      <c r="L28" s="11">
        <f>[1]world_population_Raw_Data!K21</f>
        <v>63066603</v>
      </c>
      <c r="M28" s="18">
        <f t="shared" si="6"/>
        <v>0.14192320582830467</v>
      </c>
      <c r="N28" s="39">
        <f t="shared" si="7"/>
        <v>1.3359842088743301E-2</v>
      </c>
      <c r="O28" s="11">
        <f>[1]world_population_Raw_Data!J21</f>
        <v>68270489</v>
      </c>
      <c r="P28" s="18">
        <f t="shared" si="8"/>
        <v>8.2514131924942904E-2</v>
      </c>
      <c r="Q28" s="39">
        <f t="shared" si="9"/>
        <v>7.9601383409166893E-3</v>
      </c>
      <c r="R28" s="11">
        <f>[1]world_population_Raw_Data!I21</f>
        <v>70294397</v>
      </c>
      <c r="S28" s="18">
        <f t="shared" si="10"/>
        <v>2.9645429960227763E-2</v>
      </c>
      <c r="T28" s="39">
        <f t="shared" si="11"/>
        <v>5.8600030785453949E-3</v>
      </c>
      <c r="U28" s="11">
        <f>[1]world_population_Raw_Data!H21</f>
        <v>71475664</v>
      </c>
      <c r="V28" s="18">
        <f t="shared" si="12"/>
        <v>1.6804568364104468E-2</v>
      </c>
      <c r="W28" s="39">
        <f t="shared" si="13"/>
        <v>3.3385473297431467E-3</v>
      </c>
      <c r="X28" s="11">
        <f>[1]world_population_Raw_Data!G21</f>
        <v>71697030</v>
      </c>
      <c r="Y28" s="18">
        <f t="shared" si="0"/>
        <v>3.0970821061557401E-3</v>
      </c>
      <c r="Z28" s="39">
        <f t="shared" si="14"/>
        <v>1.5473439164799263E-3</v>
      </c>
      <c r="AA28" s="19">
        <f t="shared" si="1"/>
        <v>8.9920173986836431E-3</v>
      </c>
      <c r="AB28" s="45">
        <f t="shared" si="15"/>
        <v>1.3449887553882878E-2</v>
      </c>
      <c r="AC28" s="81">
        <f t="shared" si="16"/>
        <v>79784659.580106884</v>
      </c>
      <c r="AD28" s="81"/>
    </row>
    <row r="29" spans="2:30">
      <c r="B29" s="8">
        <f>[1]world_population_Raw_Data!B22</f>
        <v>21</v>
      </c>
      <c r="C29" s="9" t="str">
        <f>[1]world_population_Raw_Data!D22</f>
        <v>United Kingdom</v>
      </c>
      <c r="D29" s="10" t="str">
        <f>[1]world_population_Raw_Data!F22</f>
        <v>Europe</v>
      </c>
      <c r="E29" s="11">
        <f>[1]world_population_Raw_Data!N22</f>
        <v>55650166</v>
      </c>
      <c r="F29" s="11">
        <f>[1]world_population_Raw_Data!M22</f>
        <v>56326328</v>
      </c>
      <c r="G29" s="18">
        <f t="shared" si="2"/>
        <v>1.2150224313796297E-2</v>
      </c>
      <c r="H29" s="39">
        <f t="shared" si="3"/>
        <v>1.0012084298483097</v>
      </c>
      <c r="I29" s="11">
        <f>[1]world_population_Raw_Data!L22</f>
        <v>57210442</v>
      </c>
      <c r="J29" s="18">
        <f t="shared" si="4"/>
        <v>1.569628327271751E-2</v>
      </c>
      <c r="K29" s="39">
        <f t="shared" si="5"/>
        <v>1.0015586505029765</v>
      </c>
      <c r="L29" s="11">
        <f>[1]world_population_Raw_Data!K22</f>
        <v>58850043</v>
      </c>
      <c r="M29" s="18">
        <f t="shared" si="6"/>
        <v>2.8659121354105251E-2</v>
      </c>
      <c r="N29" s="39">
        <f t="shared" si="7"/>
        <v>2.8296088275774345E-3</v>
      </c>
      <c r="O29" s="11">
        <f>[1]world_population_Raw_Data!J22</f>
        <v>62760039</v>
      </c>
      <c r="P29" s="18">
        <f t="shared" si="8"/>
        <v>6.6439985438923127E-2</v>
      </c>
      <c r="Q29" s="39">
        <f t="shared" si="9"/>
        <v>6.4533320850239662E-3</v>
      </c>
      <c r="R29" s="11">
        <f>[1]world_population_Raw_Data!I22</f>
        <v>65224364</v>
      </c>
      <c r="S29" s="18">
        <f t="shared" si="10"/>
        <v>3.926582964679165E-2</v>
      </c>
      <c r="T29" s="39">
        <f t="shared" si="11"/>
        <v>7.7326498703038649E-3</v>
      </c>
      <c r="U29" s="11">
        <f>[1]world_population_Raw_Data!H22</f>
        <v>67059474</v>
      </c>
      <c r="V29" s="18">
        <f t="shared" si="12"/>
        <v>2.8135345252274135E-2</v>
      </c>
      <c r="W29" s="39">
        <f t="shared" si="13"/>
        <v>5.5647896738180158E-3</v>
      </c>
      <c r="X29" s="11">
        <f>[1]world_population_Raw_Data!G22</f>
        <v>67508936</v>
      </c>
      <c r="Y29" s="18">
        <f t="shared" si="0"/>
        <v>6.7024384951185276E-3</v>
      </c>
      <c r="Z29" s="39">
        <f t="shared" si="14"/>
        <v>3.345622652094038E-3</v>
      </c>
      <c r="AA29" s="19">
        <f t="shared" si="1"/>
        <v>8.4667597399588311E-3</v>
      </c>
      <c r="AB29" s="45">
        <f t="shared" si="15"/>
        <v>3.7218109873302652E-3</v>
      </c>
      <c r="AC29" s="81">
        <f t="shared" si="16"/>
        <v>69545359.321018413</v>
      </c>
      <c r="AD29" s="81"/>
    </row>
    <row r="30" spans="2:30">
      <c r="B30" s="8">
        <f>[1]world_population_Raw_Data!B23</f>
        <v>22</v>
      </c>
      <c r="C30" s="9" t="str">
        <f>[1]world_population_Raw_Data!D23</f>
        <v>Tanzania</v>
      </c>
      <c r="D30" s="10" t="str">
        <f>[1]world_population_Raw_Data!F23</f>
        <v>Africa</v>
      </c>
      <c r="E30" s="11">
        <f>[1]world_population_Raw_Data!N23</f>
        <v>13618192</v>
      </c>
      <c r="F30" s="11">
        <f>[1]world_population_Raw_Data!M23</f>
        <v>19297659</v>
      </c>
      <c r="G30" s="18">
        <f t="shared" si="2"/>
        <v>0.41705000193858333</v>
      </c>
      <c r="H30" s="39">
        <f t="shared" si="3"/>
        <v>1.0354723762038835</v>
      </c>
      <c r="I30" s="11">
        <f>[1]world_population_Raw_Data!L23</f>
        <v>26206012</v>
      </c>
      <c r="J30" s="18">
        <f t="shared" si="4"/>
        <v>0.35798917371272859</v>
      </c>
      <c r="K30" s="39">
        <f t="shared" si="5"/>
        <v>1.0310735135937155</v>
      </c>
      <c r="L30" s="11">
        <f>[1]world_population_Raw_Data!K23</f>
        <v>34463704</v>
      </c>
      <c r="M30" s="18">
        <f t="shared" si="6"/>
        <v>0.31510677778824187</v>
      </c>
      <c r="N30" s="39">
        <f t="shared" si="7"/>
        <v>2.7770390167572767E-2</v>
      </c>
      <c r="O30" s="11">
        <f>[1]world_population_Raw_Data!J23</f>
        <v>45110527</v>
      </c>
      <c r="P30" s="18">
        <f t="shared" si="8"/>
        <v>0.30892857598823387</v>
      </c>
      <c r="Q30" s="39">
        <f t="shared" si="9"/>
        <v>2.728653313451046E-2</v>
      </c>
      <c r="R30" s="11">
        <f>[1]world_population_Raw_Data!I23</f>
        <v>52542823</v>
      </c>
      <c r="S30" s="18">
        <f t="shared" si="10"/>
        <v>0.16475746337434719</v>
      </c>
      <c r="T30" s="39">
        <f t="shared" si="11"/>
        <v>3.0972545706755783E-2</v>
      </c>
      <c r="U30" s="11">
        <f>[1]world_population_Raw_Data!H23</f>
        <v>61704518</v>
      </c>
      <c r="V30" s="18">
        <f t="shared" si="12"/>
        <v>0.17436624979209817</v>
      </c>
      <c r="W30" s="39">
        <f t="shared" si="13"/>
        <v>3.2667983023459968E-2</v>
      </c>
      <c r="X30" s="11">
        <f>[1]world_population_Raw_Data!G23</f>
        <v>65497748</v>
      </c>
      <c r="Y30" s="18">
        <f t="shared" si="0"/>
        <v>6.1474104700080467E-2</v>
      </c>
      <c r="Z30" s="39">
        <f t="shared" si="14"/>
        <v>3.0278653908776487E-2</v>
      </c>
      <c r="AA30" s="19">
        <f t="shared" si="1"/>
        <v>8.2145228273834605E-3</v>
      </c>
      <c r="AB30" s="45">
        <f t="shared" si="15"/>
        <v>3.0664792192036661E-2</v>
      </c>
      <c r="AC30" s="81">
        <f t="shared" si="16"/>
        <v>83399969.795888051</v>
      </c>
      <c r="AD30" s="81"/>
    </row>
    <row r="31" spans="2:30">
      <c r="B31" s="8">
        <f>[1]world_population_Raw_Data!B24</f>
        <v>23</v>
      </c>
      <c r="C31" s="9" t="str">
        <f>[1]world_population_Raw_Data!D24</f>
        <v>France</v>
      </c>
      <c r="D31" s="10" t="str">
        <f>[1]world_population_Raw_Data!F24</f>
        <v>Europe</v>
      </c>
      <c r="E31" s="11">
        <f>[1]world_population_Raw_Data!N24</f>
        <v>50523586</v>
      </c>
      <c r="F31" s="11">
        <f>[1]world_population_Raw_Data!M24</f>
        <v>53713830</v>
      </c>
      <c r="G31" s="18">
        <f t="shared" si="2"/>
        <v>6.3143657300968298E-2</v>
      </c>
      <c r="H31" s="39">
        <f t="shared" si="3"/>
        <v>1.0061418073765926</v>
      </c>
      <c r="I31" s="11">
        <f>[1]world_population_Raw_Data!L24</f>
        <v>56412897</v>
      </c>
      <c r="J31" s="18">
        <f t="shared" si="4"/>
        <v>5.0249014080731166E-2</v>
      </c>
      <c r="K31" s="39">
        <f t="shared" si="5"/>
        <v>1.0049147672739769</v>
      </c>
      <c r="L31" s="11">
        <f>[1]world_population_Raw_Data!K24</f>
        <v>58665453</v>
      </c>
      <c r="M31" s="18">
        <f t="shared" si="6"/>
        <v>3.9929805413113244E-2</v>
      </c>
      <c r="N31" s="39">
        <f t="shared" si="7"/>
        <v>3.9229964929579086E-3</v>
      </c>
      <c r="O31" s="11">
        <f>[1]world_population_Raw_Data!J24</f>
        <v>62444567</v>
      </c>
      <c r="P31" s="18">
        <f t="shared" si="8"/>
        <v>6.4418048557470436E-2</v>
      </c>
      <c r="Q31" s="39">
        <f t="shared" si="9"/>
        <v>6.2623486778208282E-3</v>
      </c>
      <c r="R31" s="11">
        <f>[1]world_population_Raw_Data!I24</f>
        <v>63809769</v>
      </c>
      <c r="S31" s="18">
        <f t="shared" si="10"/>
        <v>2.186262257211264E-2</v>
      </c>
      <c r="T31" s="39">
        <f t="shared" si="11"/>
        <v>4.3347806112890019E-3</v>
      </c>
      <c r="U31" s="11">
        <f>[1]world_population_Raw_Data!H24</f>
        <v>64480053</v>
      </c>
      <c r="V31" s="18">
        <f t="shared" si="12"/>
        <v>1.0504410382679805E-2</v>
      </c>
      <c r="W31" s="39">
        <f t="shared" si="13"/>
        <v>2.0921098957276119E-3</v>
      </c>
      <c r="X31" s="11">
        <f>[1]world_population_Raw_Data!G24</f>
        <v>64626628</v>
      </c>
      <c r="Y31" s="18">
        <f t="shared" si="0"/>
        <v>2.2731836154042864E-3</v>
      </c>
      <c r="Z31" s="39">
        <f t="shared" si="14"/>
        <v>1.1359466203400004E-3</v>
      </c>
      <c r="AA31" s="19">
        <f t="shared" si="1"/>
        <v>8.1052696798494372E-3</v>
      </c>
      <c r="AB31" s="45">
        <f t="shared" si="15"/>
        <v>4.7455756548511197E-3</v>
      </c>
      <c r="AC31" s="81">
        <f t="shared" si="16"/>
        <v>67121293.355166778</v>
      </c>
      <c r="AD31" s="81"/>
    </row>
    <row r="32" spans="2:30">
      <c r="B32" s="8">
        <f>[1]world_population_Raw_Data!B25</f>
        <v>24</v>
      </c>
      <c r="C32" s="9" t="str">
        <f>[1]world_population_Raw_Data!D25</f>
        <v>South Africa</v>
      </c>
      <c r="D32" s="10" t="str">
        <f>[1]world_population_Raw_Data!F25</f>
        <v>Africa</v>
      </c>
      <c r="E32" s="11">
        <f>[1]world_population_Raw_Data!N25</f>
        <v>22368306</v>
      </c>
      <c r="F32" s="11">
        <f>[1]world_population_Raw_Data!M25</f>
        <v>29463549</v>
      </c>
      <c r="G32" s="18">
        <f t="shared" si="2"/>
        <v>0.31720073035481544</v>
      </c>
      <c r="H32" s="39">
        <f t="shared" si="3"/>
        <v>1.0279339177264615</v>
      </c>
      <c r="I32" s="11">
        <f>[1]world_population_Raw_Data!L25</f>
        <v>39877570</v>
      </c>
      <c r="J32" s="18">
        <f t="shared" si="4"/>
        <v>0.35345439885738139</v>
      </c>
      <c r="K32" s="39">
        <f t="shared" si="5"/>
        <v>1.0307286855657833</v>
      </c>
      <c r="L32" s="11">
        <f>[1]world_population_Raw_Data!K25</f>
        <v>46813266</v>
      </c>
      <c r="M32" s="18">
        <f t="shared" si="6"/>
        <v>0.17392474014840925</v>
      </c>
      <c r="N32" s="39">
        <f t="shared" si="7"/>
        <v>1.616451614317338E-2</v>
      </c>
      <c r="O32" s="11">
        <f>[1]world_population_Raw_Data!J25</f>
        <v>51784921</v>
      </c>
      <c r="P32" s="18">
        <f t="shared" si="8"/>
        <v>0.10620184030740346</v>
      </c>
      <c r="Q32" s="39">
        <f t="shared" si="9"/>
        <v>1.0144346755065259E-2</v>
      </c>
      <c r="R32" s="11">
        <f>[1]world_population_Raw_Data!I25</f>
        <v>55876504</v>
      </c>
      <c r="S32" s="18">
        <f t="shared" si="10"/>
        <v>7.901108896159173E-2</v>
      </c>
      <c r="T32" s="39">
        <f t="shared" si="11"/>
        <v>1.5325237965051031E-2</v>
      </c>
      <c r="U32" s="11">
        <f>[1]world_population_Raw_Data!H25</f>
        <v>58801927</v>
      </c>
      <c r="V32" s="18">
        <f t="shared" si="12"/>
        <v>5.2355154502865819E-2</v>
      </c>
      <c r="W32" s="39">
        <f t="shared" si="13"/>
        <v>1.0258391534390787E-2</v>
      </c>
      <c r="X32" s="11">
        <f>[1]world_population_Raw_Data!G25</f>
        <v>59893885</v>
      </c>
      <c r="Y32" s="18">
        <f t="shared" si="0"/>
        <v>1.8570105704188912E-2</v>
      </c>
      <c r="Z32" s="39">
        <f t="shared" si="14"/>
        <v>9.2423424055239067E-3</v>
      </c>
      <c r="AA32" s="19">
        <f t="shared" si="1"/>
        <v>7.5117038459578773E-3</v>
      </c>
      <c r="AB32" s="45">
        <f t="shared" si="15"/>
        <v>1.9121467068882403E-2</v>
      </c>
      <c r="AC32" s="81">
        <f t="shared" si="16"/>
        <v>69693148.146362334</v>
      </c>
      <c r="AD32" s="81"/>
    </row>
    <row r="33" spans="2:30">
      <c r="B33" s="8">
        <f>[1]world_population_Raw_Data!B26</f>
        <v>25</v>
      </c>
      <c r="C33" s="9" t="str">
        <f>[1]world_population_Raw_Data!D26</f>
        <v>Italy</v>
      </c>
      <c r="D33" s="10" t="str">
        <f>[1]world_population_Raw_Data!F26</f>
        <v>Europe</v>
      </c>
      <c r="E33" s="11">
        <f>[1]world_population_Raw_Data!N26</f>
        <v>53324036</v>
      </c>
      <c r="F33" s="11">
        <f>[1]world_population_Raw_Data!M26</f>
        <v>56329482</v>
      </c>
      <c r="G33" s="18">
        <f t="shared" si="2"/>
        <v>5.6361937794806083E-2</v>
      </c>
      <c r="H33" s="39">
        <f t="shared" si="3"/>
        <v>1.0054981467022057</v>
      </c>
      <c r="I33" s="11">
        <f>[1]world_population_Raw_Data!L26</f>
        <v>56756561</v>
      </c>
      <c r="J33" s="18">
        <f t="shared" si="4"/>
        <v>7.5818023677192703E-3</v>
      </c>
      <c r="K33" s="39">
        <f t="shared" si="5"/>
        <v>1.0007556058223375</v>
      </c>
      <c r="L33" s="11">
        <f>[1]world_population_Raw_Data!K26</f>
        <v>56966397</v>
      </c>
      <c r="M33" s="18">
        <f t="shared" si="6"/>
        <v>3.6971232277445421E-3</v>
      </c>
      <c r="N33" s="39">
        <f t="shared" si="7"/>
        <v>3.6909866676371195E-4</v>
      </c>
      <c r="O33" s="11">
        <f>[1]world_population_Raw_Data!J26</f>
        <v>59822450</v>
      </c>
      <c r="P33" s="18">
        <f t="shared" si="8"/>
        <v>5.013574932604567E-2</v>
      </c>
      <c r="Q33" s="39">
        <f t="shared" si="9"/>
        <v>4.903929182509037E-3</v>
      </c>
      <c r="R33" s="11">
        <f>[1]world_population_Raw_Data!I26</f>
        <v>60232906</v>
      </c>
      <c r="S33" s="18">
        <f t="shared" si="10"/>
        <v>6.8612368767912383E-3</v>
      </c>
      <c r="T33" s="39">
        <f t="shared" si="11"/>
        <v>1.3684966797300468E-3</v>
      </c>
      <c r="U33" s="11">
        <f>[1]world_population_Raw_Data!H26</f>
        <v>59500579</v>
      </c>
      <c r="V33" s="18">
        <f t="shared" si="12"/>
        <v>-1.2158254492984284E-2</v>
      </c>
      <c r="W33" s="39">
        <f t="shared" si="13"/>
        <v>-2.4435637608820615E-3</v>
      </c>
      <c r="X33" s="11">
        <f>[1]world_population_Raw_Data!G26</f>
        <v>59037474</v>
      </c>
      <c r="Y33" s="18">
        <f t="shared" si="0"/>
        <v>-7.7832015718704182E-3</v>
      </c>
      <c r="Z33" s="39">
        <f t="shared" si="14"/>
        <v>-3.8992026766921928E-3</v>
      </c>
      <c r="AA33" s="19">
        <f t="shared" si="1"/>
        <v>7.4042954552278276E-3</v>
      </c>
      <c r="AB33" s="45">
        <f t="shared" si="15"/>
        <v>1.9593248282161468E-3</v>
      </c>
      <c r="AC33" s="81">
        <f t="shared" si="16"/>
        <v>59969233.617254004</v>
      </c>
      <c r="AD33" s="81"/>
    </row>
    <row r="34" spans="2:30">
      <c r="B34" s="8">
        <f>[1]world_population_Raw_Data!B27</f>
        <v>26</v>
      </c>
      <c r="C34" s="9" t="str">
        <f>[1]world_population_Raw_Data!D27</f>
        <v>Myanmar</v>
      </c>
      <c r="D34" s="10" t="str">
        <f>[1]world_population_Raw_Data!F27</f>
        <v>Asia</v>
      </c>
      <c r="E34" s="11">
        <f>[1]world_population_Raw_Data!N27</f>
        <v>27284112</v>
      </c>
      <c r="F34" s="11">
        <f>[1]world_population_Raw_Data!M27</f>
        <v>33465781</v>
      </c>
      <c r="G34" s="18">
        <f t="shared" si="2"/>
        <v>0.22656661869735764</v>
      </c>
      <c r="H34" s="39">
        <f t="shared" si="3"/>
        <v>1.0206318435091195</v>
      </c>
      <c r="I34" s="11">
        <f>[1]world_population_Raw_Data!L27</f>
        <v>40099553</v>
      </c>
      <c r="J34" s="18">
        <f t="shared" si="4"/>
        <v>0.19822552475317998</v>
      </c>
      <c r="K34" s="39">
        <f t="shared" si="5"/>
        <v>1.0182486821367434</v>
      </c>
      <c r="L34" s="11">
        <f>[1]world_population_Raw_Data!K27</f>
        <v>45538332</v>
      </c>
      <c r="M34" s="18">
        <f t="shared" si="6"/>
        <v>0.13563191090933108</v>
      </c>
      <c r="N34" s="39">
        <f t="shared" si="7"/>
        <v>1.2800154110481188E-2</v>
      </c>
      <c r="O34" s="11">
        <f>[1]world_population_Raw_Data!J27</f>
        <v>49390988</v>
      </c>
      <c r="P34" s="18">
        <f t="shared" si="8"/>
        <v>8.4602483903011644E-2</v>
      </c>
      <c r="Q34" s="39">
        <f t="shared" si="9"/>
        <v>8.1544222151694878E-3</v>
      </c>
      <c r="R34" s="11">
        <f>[1]world_population_Raw_Data!I27</f>
        <v>51483949</v>
      </c>
      <c r="S34" s="18">
        <f t="shared" si="10"/>
        <v>4.2375362080224029E-2</v>
      </c>
      <c r="T34" s="39">
        <f t="shared" si="11"/>
        <v>8.3349661716332069E-3</v>
      </c>
      <c r="U34" s="11">
        <f>[1]world_population_Raw_Data!H27</f>
        <v>53423198</v>
      </c>
      <c r="V34" s="18">
        <f t="shared" si="12"/>
        <v>3.7667060077306816E-2</v>
      </c>
      <c r="W34" s="39">
        <f t="shared" si="13"/>
        <v>7.4224068952524203E-3</v>
      </c>
      <c r="X34" s="11">
        <f>[1]world_population_Raw_Data!G27</f>
        <v>54179306</v>
      </c>
      <c r="Y34" s="18">
        <f t="shared" si="0"/>
        <v>1.4153177426780029E-2</v>
      </c>
      <c r="Z34" s="39">
        <f t="shared" si="14"/>
        <v>7.0517252985469181E-3</v>
      </c>
      <c r="AA34" s="19">
        <f t="shared" si="1"/>
        <v>6.7949992098780814E-3</v>
      </c>
      <c r="AB34" s="45">
        <f t="shared" si="15"/>
        <v>1.3279602400602775E-2</v>
      </c>
      <c r="AC34" s="81">
        <f t="shared" si="16"/>
        <v>60209890.846793354</v>
      </c>
      <c r="AD34" s="81"/>
    </row>
    <row r="35" spans="2:30">
      <c r="B35" s="8">
        <f>[1]world_population_Raw_Data!B28</f>
        <v>27</v>
      </c>
      <c r="C35" s="9" t="str">
        <f>[1]world_population_Raw_Data!D28</f>
        <v>Kenya</v>
      </c>
      <c r="D35" s="10" t="str">
        <f>[1]world_population_Raw_Data!F28</f>
        <v>Africa</v>
      </c>
      <c r="E35" s="11">
        <f>[1]world_population_Raw_Data!N28</f>
        <v>11473087</v>
      </c>
      <c r="F35" s="11">
        <f>[1]world_population_Raw_Data!M28</f>
        <v>16187124</v>
      </c>
      <c r="G35" s="18">
        <f t="shared" si="2"/>
        <v>0.41087782215893598</v>
      </c>
      <c r="H35" s="39">
        <f t="shared" si="3"/>
        <v>1.0350204737867439</v>
      </c>
      <c r="I35" s="11">
        <f>[1]world_population_Raw_Data!L28</f>
        <v>23162269</v>
      </c>
      <c r="J35" s="18">
        <f t="shared" si="4"/>
        <v>0.43090699743821076</v>
      </c>
      <c r="K35" s="39">
        <f t="shared" si="5"/>
        <v>1.0364805117254332</v>
      </c>
      <c r="L35" s="11">
        <f>[1]world_population_Raw_Data!K28</f>
        <v>30851606</v>
      </c>
      <c r="M35" s="18">
        <f t="shared" si="6"/>
        <v>0.331976845619054</v>
      </c>
      <c r="N35" s="39">
        <f t="shared" si="7"/>
        <v>2.9081255134712825E-2</v>
      </c>
      <c r="O35" s="11">
        <f>[1]world_population_Raw_Data!J28</f>
        <v>41517895</v>
      </c>
      <c r="P35" s="18">
        <f t="shared" si="8"/>
        <v>0.34572880906102588</v>
      </c>
      <c r="Q35" s="39">
        <f t="shared" si="9"/>
        <v>3.0138823418051963E-2</v>
      </c>
      <c r="R35" s="11">
        <f>[1]world_population_Raw_Data!I28</f>
        <v>46851488</v>
      </c>
      <c r="S35" s="18">
        <f t="shared" si="10"/>
        <v>0.12846491856102049</v>
      </c>
      <c r="T35" s="39">
        <f t="shared" si="11"/>
        <v>2.4466148317491943E-2</v>
      </c>
      <c r="U35" s="11">
        <f>[1]world_population_Raw_Data!H28</f>
        <v>51985780</v>
      </c>
      <c r="V35" s="18">
        <f t="shared" si="12"/>
        <v>0.10958653010124246</v>
      </c>
      <c r="W35" s="39">
        <f t="shared" si="13"/>
        <v>2.1015265006223638E-2</v>
      </c>
      <c r="X35" s="11">
        <f>[1]world_population_Raw_Data!G28</f>
        <v>54027487</v>
      </c>
      <c r="Y35" s="18">
        <f t="shared" si="0"/>
        <v>3.9274336174238415E-2</v>
      </c>
      <c r="Z35" s="39">
        <f t="shared" si="14"/>
        <v>1.9448054671859394E-2</v>
      </c>
      <c r="AA35" s="19">
        <f t="shared" si="1"/>
        <v>6.7759585454398091E-3</v>
      </c>
      <c r="AB35" s="45">
        <f t="shared" si="15"/>
        <v>3.0246262565971183E-2</v>
      </c>
      <c r="AC35" s="81">
        <f t="shared" si="16"/>
        <v>68571420.960145801</v>
      </c>
      <c r="AD35" s="81"/>
    </row>
    <row r="36" spans="2:30">
      <c r="B36" s="8">
        <f>[1]world_population_Raw_Data!B29</f>
        <v>28</v>
      </c>
      <c r="C36" s="9" t="str">
        <f>[1]world_population_Raw_Data!D29</f>
        <v>Colombia</v>
      </c>
      <c r="D36" s="10" t="str">
        <f>[1]world_population_Raw_Data!F29</f>
        <v>South America</v>
      </c>
      <c r="E36" s="11">
        <f>[1]world_population_Raw_Data!N29</f>
        <v>20905254</v>
      </c>
      <c r="F36" s="11">
        <f>[1]world_population_Raw_Data!M29</f>
        <v>26176195</v>
      </c>
      <c r="G36" s="18">
        <f t="shared" si="2"/>
        <v>0.25213475043163791</v>
      </c>
      <c r="H36" s="39">
        <f t="shared" si="3"/>
        <v>1.0227396822179569</v>
      </c>
      <c r="I36" s="11">
        <f>[1]world_population_Raw_Data!L29</f>
        <v>32601393</v>
      </c>
      <c r="J36" s="18">
        <f t="shared" si="4"/>
        <v>0.24545958646778113</v>
      </c>
      <c r="K36" s="39">
        <f t="shared" si="5"/>
        <v>1.0221931445401453</v>
      </c>
      <c r="L36" s="11">
        <f>[1]world_population_Raw_Data!K29</f>
        <v>39215135</v>
      </c>
      <c r="M36" s="18">
        <f t="shared" si="6"/>
        <v>0.20286685295931986</v>
      </c>
      <c r="N36" s="39">
        <f t="shared" si="7"/>
        <v>1.864241508293274E-2</v>
      </c>
      <c r="O36" s="11">
        <f>[1]world_population_Raw_Data!J29</f>
        <v>44816108</v>
      </c>
      <c r="P36" s="18">
        <f t="shared" si="8"/>
        <v>0.14282681928801214</v>
      </c>
      <c r="Q36" s="39">
        <f t="shared" si="9"/>
        <v>1.3440001567603721E-2</v>
      </c>
      <c r="R36" s="11">
        <f>[1]world_population_Raw_Data!I29</f>
        <v>47119728</v>
      </c>
      <c r="S36" s="18">
        <f t="shared" si="10"/>
        <v>5.1401607654105085E-2</v>
      </c>
      <c r="T36" s="39">
        <f t="shared" si="11"/>
        <v>1.007524461042153E-2</v>
      </c>
      <c r="U36" s="11">
        <f>[1]world_population_Raw_Data!H29</f>
        <v>50930662</v>
      </c>
      <c r="V36" s="18">
        <f t="shared" si="12"/>
        <v>8.0877673996759908E-2</v>
      </c>
      <c r="W36" s="39">
        <f t="shared" si="13"/>
        <v>1.5676278074827632E-2</v>
      </c>
      <c r="X36" s="11">
        <f>[1]world_population_Raw_Data!G29</f>
        <v>51874024</v>
      </c>
      <c r="Y36" s="18">
        <f t="shared" si="0"/>
        <v>1.8522476695865448E-2</v>
      </c>
      <c r="Z36" s="39">
        <f t="shared" si="14"/>
        <v>9.2187457116843508E-3</v>
      </c>
      <c r="AA36" s="19">
        <f t="shared" si="1"/>
        <v>6.5058779470744173E-3</v>
      </c>
      <c r="AB36" s="45">
        <f t="shared" si="15"/>
        <v>1.7630883485491688E-2</v>
      </c>
      <c r="AC36" s="81">
        <f t="shared" si="16"/>
        <v>59658477.774963968</v>
      </c>
      <c r="AD36" s="81"/>
    </row>
    <row r="37" spans="2:30">
      <c r="B37" s="8">
        <f>[1]world_population_Raw_Data!B30</f>
        <v>29</v>
      </c>
      <c r="C37" s="9" t="str">
        <f>[1]world_population_Raw_Data!D30</f>
        <v>South Korea</v>
      </c>
      <c r="D37" s="10" t="str">
        <f>[1]world_population_Raw_Data!F30</f>
        <v>Asia</v>
      </c>
      <c r="E37" s="11">
        <f>[1]world_population_Raw_Data!N30</f>
        <v>32601143</v>
      </c>
      <c r="F37" s="11">
        <f>[1]world_population_Raw_Data!M30</f>
        <v>38170501</v>
      </c>
      <c r="G37" s="18">
        <f t="shared" si="2"/>
        <v>0.17083321281097413</v>
      </c>
      <c r="H37" s="39">
        <f t="shared" si="3"/>
        <v>1.0158965918543272</v>
      </c>
      <c r="I37" s="11">
        <f>[1]world_population_Raw_Data!L30</f>
        <v>44120039</v>
      </c>
      <c r="J37" s="18">
        <f t="shared" si="4"/>
        <v>0.15586743281153162</v>
      </c>
      <c r="K37" s="39">
        <f t="shared" si="5"/>
        <v>1.0145905261833525</v>
      </c>
      <c r="L37" s="11">
        <f>[1]world_population_Raw_Data!K30</f>
        <v>46788591</v>
      </c>
      <c r="M37" s="18">
        <f t="shared" si="6"/>
        <v>6.0483899390932086E-2</v>
      </c>
      <c r="N37" s="39">
        <f t="shared" si="7"/>
        <v>5.8898083968901283E-3</v>
      </c>
      <c r="O37" s="11">
        <f>[1]world_population_Raw_Data!J30</f>
        <v>48813042</v>
      </c>
      <c r="P37" s="18">
        <f t="shared" si="8"/>
        <v>4.3268047973489945E-2</v>
      </c>
      <c r="Q37" s="39">
        <f t="shared" si="9"/>
        <v>4.2447977500488232E-3</v>
      </c>
      <c r="R37" s="11">
        <f>[1]world_population_Raw_Data!I30</f>
        <v>50994401</v>
      </c>
      <c r="S37" s="18">
        <f t="shared" si="10"/>
        <v>4.4688036447308489E-2</v>
      </c>
      <c r="T37" s="39">
        <f t="shared" si="11"/>
        <v>8.7819996962139601E-3</v>
      </c>
      <c r="U37" s="11">
        <f>[1]world_population_Raw_Data!H30</f>
        <v>51844690</v>
      </c>
      <c r="V37" s="18">
        <f t="shared" si="12"/>
        <v>1.667416389497349E-2</v>
      </c>
      <c r="W37" s="39">
        <f t="shared" si="13"/>
        <v>3.3128105171329469E-3</v>
      </c>
      <c r="X37" s="11">
        <f>[1]world_population_Raw_Data!G30</f>
        <v>51815810</v>
      </c>
      <c r="Y37" s="18">
        <f t="shared" si="0"/>
        <v>-5.570483688879228E-4</v>
      </c>
      <c r="Z37" s="39">
        <f t="shared" si="14"/>
        <v>-2.7856298311179639E-4</v>
      </c>
      <c r="AA37" s="19">
        <f t="shared" si="1"/>
        <v>6.4985769291543306E-3</v>
      </c>
      <c r="AB37" s="45">
        <f t="shared" si="15"/>
        <v>8.9503548244511677E-3</v>
      </c>
      <c r="AC37" s="81">
        <f>X37*(1+AB37)^8</f>
        <v>55644298.381099999</v>
      </c>
      <c r="AD37" s="81"/>
    </row>
    <row r="38" spans="2:30">
      <c r="B38" s="8">
        <f>[1]world_population_Raw_Data!B31</f>
        <v>30</v>
      </c>
      <c r="C38" s="9" t="str">
        <f>[1]world_population_Raw_Data!D31</f>
        <v>Spain</v>
      </c>
      <c r="D38" s="10" t="str">
        <f>[1]world_population_Raw_Data!F31</f>
        <v>Europe</v>
      </c>
      <c r="E38" s="11">
        <f>[1]world_population_Raw_Data!N31</f>
        <v>33792617</v>
      </c>
      <c r="F38" s="11">
        <f>[1]world_population_Raw_Data!M31</f>
        <v>37491666</v>
      </c>
      <c r="G38" s="18">
        <f t="shared" si="2"/>
        <v>0.10946322979365582</v>
      </c>
      <c r="H38" s="39">
        <f t="shared" si="3"/>
        <v>1.0104417709064404</v>
      </c>
      <c r="I38" s="11">
        <f>[1]world_population_Raw_Data!L31</f>
        <v>38889889</v>
      </c>
      <c r="J38" s="18">
        <f t="shared" si="4"/>
        <v>3.7294234937439164E-2</v>
      </c>
      <c r="K38" s="39">
        <f t="shared" si="5"/>
        <v>1.0036682742777037</v>
      </c>
      <c r="L38" s="11">
        <f>[1]world_population_Raw_Data!K31</f>
        <v>40741651</v>
      </c>
      <c r="M38" s="18">
        <f t="shared" si="6"/>
        <v>4.7615512607917188E-2</v>
      </c>
      <c r="N38" s="39">
        <f t="shared" si="7"/>
        <v>4.6624999145905566E-3</v>
      </c>
      <c r="O38" s="11">
        <f>[1]world_population_Raw_Data!J31</f>
        <v>46572772</v>
      </c>
      <c r="P38" s="18">
        <f t="shared" si="8"/>
        <v>0.14312431766694972</v>
      </c>
      <c r="Q38" s="39">
        <f t="shared" si="9"/>
        <v>1.3466380143962509E-2</v>
      </c>
      <c r="R38" s="11">
        <f>[1]world_population_Raw_Data!I31</f>
        <v>46431342</v>
      </c>
      <c r="S38" s="18">
        <f t="shared" si="10"/>
        <v>-3.0367528907233607E-3</v>
      </c>
      <c r="T38" s="39">
        <f t="shared" si="11"/>
        <v>-6.0808967467596009E-4</v>
      </c>
      <c r="U38" s="11">
        <f>[1]world_population_Raw_Data!H31</f>
        <v>47363807</v>
      </c>
      <c r="V38" s="18">
        <f t="shared" si="12"/>
        <v>2.0082663128711636E-2</v>
      </c>
      <c r="W38" s="39">
        <f t="shared" si="13"/>
        <v>3.98465095484557E-3</v>
      </c>
      <c r="X38" s="11">
        <f>[1]world_population_Raw_Data!G31</f>
        <v>47558630</v>
      </c>
      <c r="Y38" s="18">
        <f t="shared" si="0"/>
        <v>4.1133306703998685E-3</v>
      </c>
      <c r="Z38" s="39">
        <f t="shared" si="14"/>
        <v>2.0545547376149553E-3</v>
      </c>
      <c r="AA38" s="19">
        <f t="shared" si="1"/>
        <v>5.9646547202521208E-3</v>
      </c>
      <c r="AB38" s="45">
        <f t="shared" si="15"/>
        <v>6.5931961868315181E-3</v>
      </c>
      <c r="AC38" s="81">
        <f t="shared" ref="AC38:AC50" si="17">X38*(1+AB38)^8</f>
        <v>50125793.441954114</v>
      </c>
      <c r="AD38" s="81"/>
    </row>
    <row r="39" spans="2:30">
      <c r="B39" s="8">
        <f>[1]world_population_Raw_Data!B32</f>
        <v>31</v>
      </c>
      <c r="C39" s="9" t="str">
        <f>[1]world_population_Raw_Data!D32</f>
        <v>Uganda</v>
      </c>
      <c r="D39" s="10" t="str">
        <f>[1]world_population_Raw_Data!F32</f>
        <v>Africa</v>
      </c>
      <c r="E39" s="11">
        <f>[1]world_population_Raw_Data!N32</f>
        <v>10317212</v>
      </c>
      <c r="F39" s="11">
        <f>[1]world_population_Raw_Data!M32</f>
        <v>13284026</v>
      </c>
      <c r="G39" s="18">
        <f t="shared" si="2"/>
        <v>0.28755966243593717</v>
      </c>
      <c r="H39" s="39">
        <f t="shared" si="3"/>
        <v>1.025596986832187</v>
      </c>
      <c r="I39" s="11">
        <f>[1]world_population_Raw_Data!L32</f>
        <v>17586630</v>
      </c>
      <c r="J39" s="18">
        <f t="shared" si="4"/>
        <v>0.3238930727777859</v>
      </c>
      <c r="K39" s="39">
        <f t="shared" si="5"/>
        <v>1.0284549930434137</v>
      </c>
      <c r="L39" s="11">
        <f>[1]world_population_Raw_Data!K32</f>
        <v>24020697</v>
      </c>
      <c r="M39" s="18">
        <f t="shared" si="6"/>
        <v>0.36584990984628663</v>
      </c>
      <c r="N39" s="39">
        <f t="shared" si="7"/>
        <v>3.166880271054473E-2</v>
      </c>
      <c r="O39" s="11">
        <f>[1]world_population_Raw_Data!J32</f>
        <v>32341728</v>
      </c>
      <c r="P39" s="18">
        <f t="shared" si="8"/>
        <v>0.34641088890967653</v>
      </c>
      <c r="Q39" s="39">
        <f t="shared" si="9"/>
        <v>3.0191023885258295E-2</v>
      </c>
      <c r="R39" s="11">
        <f>[1]world_population_Raw_Data!I32</f>
        <v>37477356</v>
      </c>
      <c r="S39" s="18">
        <f t="shared" si="10"/>
        <v>0.15879262852003456</v>
      </c>
      <c r="T39" s="39">
        <f t="shared" si="11"/>
        <v>2.9914434116681932E-2</v>
      </c>
      <c r="U39" s="11">
        <f>[1]world_population_Raw_Data!H32</f>
        <v>44404611</v>
      </c>
      <c r="V39" s="18">
        <f t="shared" si="12"/>
        <v>0.18483841282720156</v>
      </c>
      <c r="W39" s="39">
        <f t="shared" si="13"/>
        <v>3.4503168427688857E-2</v>
      </c>
      <c r="X39" s="11">
        <f>[1]world_population_Raw_Data!G32</f>
        <v>47249585</v>
      </c>
      <c r="Y39" s="18">
        <f t="shared" si="0"/>
        <v>6.4069337303731808E-2</v>
      </c>
      <c r="Z39" s="39">
        <f t="shared" si="14"/>
        <v>3.1537365927057248E-2</v>
      </c>
      <c r="AA39" s="19">
        <f t="shared" si="1"/>
        <v>5.9258952623362738E-3</v>
      </c>
      <c r="AB39" s="45">
        <f t="shared" si="15"/>
        <v>2.9694463851181796E-2</v>
      </c>
      <c r="AC39" s="81">
        <f t="shared" si="17"/>
        <v>59712467.856974222</v>
      </c>
      <c r="AD39" s="81"/>
    </row>
    <row r="40" spans="2:30">
      <c r="B40" s="8">
        <f>[1]world_population_Raw_Data!B33</f>
        <v>32</v>
      </c>
      <c r="C40" s="9" t="str">
        <f>[1]world_population_Raw_Data!D33</f>
        <v>Sudan</v>
      </c>
      <c r="D40" s="10" t="str">
        <f>[1]world_population_Raw_Data!F33</f>
        <v>Africa</v>
      </c>
      <c r="E40" s="11">
        <f>[1]world_population_Raw_Data!N33</f>
        <v>11305206</v>
      </c>
      <c r="F40" s="11">
        <f>[1]world_population_Raw_Data!M33</f>
        <v>16673586</v>
      </c>
      <c r="G40" s="18">
        <f t="shared" si="2"/>
        <v>0.47485910473457982</v>
      </c>
      <c r="H40" s="39">
        <f t="shared" si="3"/>
        <v>1.039621023540563</v>
      </c>
      <c r="I40" s="11">
        <f>[1]world_population_Raw_Data!L33</f>
        <v>21090886</v>
      </c>
      <c r="J40" s="18">
        <f t="shared" si="4"/>
        <v>0.26492801248633618</v>
      </c>
      <c r="K40" s="39">
        <f t="shared" si="5"/>
        <v>1.0237798582662554</v>
      </c>
      <c r="L40" s="11">
        <f>[1]world_population_Raw_Data!K33</f>
        <v>26298773</v>
      </c>
      <c r="M40" s="18">
        <f t="shared" si="6"/>
        <v>0.24692594706547652</v>
      </c>
      <c r="N40" s="39">
        <f t="shared" si="7"/>
        <v>2.231343027383903E-2</v>
      </c>
      <c r="O40" s="11">
        <f>[1]world_population_Raw_Data!J33</f>
        <v>33739933</v>
      </c>
      <c r="P40" s="18">
        <f t="shared" si="8"/>
        <v>0.2829470409132776</v>
      </c>
      <c r="Q40" s="39">
        <f t="shared" si="9"/>
        <v>2.5228977909129036E-2</v>
      </c>
      <c r="R40" s="11">
        <f>[1]world_population_Raw_Data!I33</f>
        <v>38171178</v>
      </c>
      <c r="S40" s="18">
        <f t="shared" si="10"/>
        <v>0.13133532304287623</v>
      </c>
      <c r="T40" s="39">
        <f t="shared" si="11"/>
        <v>2.4986792738736385E-2</v>
      </c>
      <c r="U40" s="11">
        <f>[1]world_population_Raw_Data!H33</f>
        <v>44440486</v>
      </c>
      <c r="V40" s="18">
        <f t="shared" si="12"/>
        <v>0.16424193143842719</v>
      </c>
      <c r="W40" s="39">
        <f t="shared" si="13"/>
        <v>3.0881266034791466E-2</v>
      </c>
      <c r="X40" s="11">
        <f>[1]world_population_Raw_Data!G33</f>
        <v>46874204</v>
      </c>
      <c r="Y40" s="18">
        <f t="shared" si="0"/>
        <v>5.4763532514023362E-2</v>
      </c>
      <c r="Z40" s="39">
        <f t="shared" si="14"/>
        <v>2.7016812186647421E-2</v>
      </c>
      <c r="AA40" s="19">
        <f t="shared" si="1"/>
        <v>5.8788161506473343E-3</v>
      </c>
      <c r="AB40" s="45">
        <f t="shared" si="15"/>
        <v>2.7727526947152414E-2</v>
      </c>
      <c r="AC40" s="81">
        <f t="shared" si="17"/>
        <v>58338843.754403688</v>
      </c>
      <c r="AD40" s="81"/>
    </row>
    <row r="41" spans="2:30">
      <c r="B41" s="8">
        <f>[1]world_population_Raw_Data!B34</f>
        <v>33</v>
      </c>
      <c r="C41" s="9" t="str">
        <f>[1]world_population_Raw_Data!D34</f>
        <v>Argentina</v>
      </c>
      <c r="D41" s="10" t="str">
        <f>[1]world_population_Raw_Data!F34</f>
        <v>South America</v>
      </c>
      <c r="E41" s="11">
        <f>[1]world_population_Raw_Data!N34</f>
        <v>23842803</v>
      </c>
      <c r="F41" s="11">
        <f>[1]world_population_Raw_Data!M34</f>
        <v>28024803</v>
      </c>
      <c r="G41" s="18">
        <f t="shared" si="2"/>
        <v>0.17539884048029084</v>
      </c>
      <c r="H41" s="39">
        <f t="shared" si="3"/>
        <v>1.0162920441390613</v>
      </c>
      <c r="I41" s="11">
        <f>[1]world_population_Raw_Data!L34</f>
        <v>32637657</v>
      </c>
      <c r="J41" s="18">
        <f t="shared" si="4"/>
        <v>0.16459898041031726</v>
      </c>
      <c r="K41" s="39">
        <f t="shared" si="5"/>
        <v>1.0153543658651027</v>
      </c>
      <c r="L41" s="11">
        <f>[1]world_population_Raw_Data!K34</f>
        <v>37070774</v>
      </c>
      <c r="M41" s="18">
        <f t="shared" si="6"/>
        <v>0.13582828571303387</v>
      </c>
      <c r="N41" s="39">
        <f t="shared" si="7"/>
        <v>1.2817666207035394E-2</v>
      </c>
      <c r="O41" s="11">
        <f>[1]world_population_Raw_Data!J34</f>
        <v>41100123</v>
      </c>
      <c r="P41" s="18">
        <f t="shared" si="8"/>
        <v>0.10869341438622242</v>
      </c>
      <c r="Q41" s="39">
        <f t="shared" si="9"/>
        <v>1.0371638196751354E-2</v>
      </c>
      <c r="R41" s="11">
        <f>[1]world_population_Raw_Data!I34</f>
        <v>43257065</v>
      </c>
      <c r="S41" s="18">
        <f t="shared" si="10"/>
        <v>5.2480183575119715E-2</v>
      </c>
      <c r="T41" s="39">
        <f t="shared" si="11"/>
        <v>1.0282395914763987E-2</v>
      </c>
      <c r="U41" s="11">
        <f>[1]world_population_Raw_Data!H34</f>
        <v>45036032</v>
      </c>
      <c r="V41" s="18">
        <f t="shared" si="12"/>
        <v>4.1125467019086939E-2</v>
      </c>
      <c r="W41" s="39">
        <f t="shared" si="13"/>
        <v>8.0930345482534971E-3</v>
      </c>
      <c r="X41" s="11">
        <f>[1]world_population_Raw_Data!G34</f>
        <v>45510318</v>
      </c>
      <c r="Y41" s="18">
        <f t="shared" si="0"/>
        <v>1.0531256394879548E-2</v>
      </c>
      <c r="Z41" s="39">
        <f t="shared" si="14"/>
        <v>5.2518372999272867E-3</v>
      </c>
      <c r="AA41" s="19">
        <f t="shared" si="1"/>
        <v>5.7077618316354996E-3</v>
      </c>
      <c r="AB41" s="45">
        <f t="shared" si="15"/>
        <v>1.2509455601843689E-2</v>
      </c>
      <c r="AC41" s="81">
        <f t="shared" si="17"/>
        <v>50269269.197278813</v>
      </c>
      <c r="AD41" s="81"/>
    </row>
    <row r="42" spans="2:30">
      <c r="B42" s="8">
        <f>[1]world_population_Raw_Data!B35</f>
        <v>34</v>
      </c>
      <c r="C42" s="9" t="str">
        <f>[1]world_population_Raw_Data!D35</f>
        <v>Algeria</v>
      </c>
      <c r="D42" s="10" t="str">
        <f>[1]world_population_Raw_Data!F35</f>
        <v>Africa</v>
      </c>
      <c r="E42" s="11">
        <f>[1]world_population_Raw_Data!N35</f>
        <v>13795915</v>
      </c>
      <c r="F42" s="11">
        <f>[1]world_population_Raw_Data!M35</f>
        <v>18739378</v>
      </c>
      <c r="G42" s="18">
        <f t="shared" si="2"/>
        <v>0.35832802681083492</v>
      </c>
      <c r="H42" s="39">
        <f t="shared" si="3"/>
        <v>1.0310992386316225</v>
      </c>
      <c r="I42" s="11">
        <f>[1]world_population_Raw_Data!L35</f>
        <v>25518074</v>
      </c>
      <c r="J42" s="18">
        <f t="shared" si="4"/>
        <v>0.36173537883701368</v>
      </c>
      <c r="K42" s="39">
        <f t="shared" si="5"/>
        <v>1.0313575973192683</v>
      </c>
      <c r="L42" s="11">
        <f>[1]world_population_Raw_Data!K35</f>
        <v>30774621</v>
      </c>
      <c r="M42" s="18">
        <f t="shared" si="6"/>
        <v>0.20599309336590216</v>
      </c>
      <c r="N42" s="39">
        <f t="shared" si="7"/>
        <v>1.8906850231761752E-2</v>
      </c>
      <c r="O42" s="11">
        <f>[1]world_population_Raw_Data!J35</f>
        <v>35856344</v>
      </c>
      <c r="P42" s="18">
        <f t="shared" si="8"/>
        <v>0.16512707012703748</v>
      </c>
      <c r="Q42" s="39">
        <f t="shared" si="9"/>
        <v>1.5400397917921582E-2</v>
      </c>
      <c r="R42" s="11">
        <f>[1]world_population_Raw_Data!I35</f>
        <v>39543154</v>
      </c>
      <c r="S42" s="18">
        <f t="shared" si="10"/>
        <v>0.10282169314305999</v>
      </c>
      <c r="T42" s="39">
        <f t="shared" si="11"/>
        <v>1.9767249189391212E-2</v>
      </c>
      <c r="U42" s="11">
        <f>[1]world_population_Raw_Data!H35</f>
        <v>43451666</v>
      </c>
      <c r="V42" s="18">
        <f t="shared" si="12"/>
        <v>9.8841685718847813E-2</v>
      </c>
      <c r="W42" s="39">
        <f t="shared" si="13"/>
        <v>1.9030130402696299E-2</v>
      </c>
      <c r="X42" s="11">
        <f>[1]world_population_Raw_Data!G35</f>
        <v>44903225</v>
      </c>
      <c r="Y42" s="18">
        <f t="shared" si="0"/>
        <v>3.3406291026907918E-2</v>
      </c>
      <c r="Z42" s="39">
        <f t="shared" si="14"/>
        <v>1.6565930487003833E-2</v>
      </c>
      <c r="AA42" s="19">
        <f t="shared" si="1"/>
        <v>5.6316221251704055E-3</v>
      </c>
      <c r="AB42" s="45">
        <f t="shared" si="15"/>
        <v>2.2954433490166348E-2</v>
      </c>
      <c r="AC42" s="81">
        <f t="shared" si="17"/>
        <v>53842825.844476007</v>
      </c>
      <c r="AD42" s="81"/>
    </row>
    <row r="43" spans="2:30">
      <c r="B43" s="8">
        <f>[1]world_population_Raw_Data!B36</f>
        <v>35</v>
      </c>
      <c r="C43" s="9" t="str">
        <f>[1]world_population_Raw_Data!D36</f>
        <v>Iraq</v>
      </c>
      <c r="D43" s="10" t="str">
        <f>[1]world_population_Raw_Data!F36</f>
        <v>Asia</v>
      </c>
      <c r="E43" s="11">
        <f>[1]world_population_Raw_Data!N36</f>
        <v>9811347</v>
      </c>
      <c r="F43" s="11">
        <f>[1]world_population_Raw_Data!M36</f>
        <v>13653369</v>
      </c>
      <c r="G43" s="18">
        <f t="shared" si="2"/>
        <v>0.39158965634382314</v>
      </c>
      <c r="H43" s="39">
        <f t="shared" si="3"/>
        <v>1.0335967122148588</v>
      </c>
      <c r="I43" s="11">
        <f>[1]world_population_Raw_Data!L36</f>
        <v>17658381</v>
      </c>
      <c r="J43" s="18">
        <f t="shared" si="4"/>
        <v>0.2933350735631623</v>
      </c>
      <c r="K43" s="39">
        <f t="shared" si="5"/>
        <v>1.026056097367269</v>
      </c>
      <c r="L43" s="11">
        <f>[1]world_population_Raw_Data!K36</f>
        <v>24628858</v>
      </c>
      <c r="M43" s="18">
        <f t="shared" si="6"/>
        <v>0.3947404351508782</v>
      </c>
      <c r="N43" s="39">
        <f t="shared" si="7"/>
        <v>3.3830496740379523E-2</v>
      </c>
      <c r="O43" s="11">
        <f>[1]world_population_Raw_Data!J36</f>
        <v>31264875</v>
      </c>
      <c r="P43" s="18">
        <f t="shared" si="8"/>
        <v>0.26944071056806612</v>
      </c>
      <c r="Q43" s="39">
        <f t="shared" si="9"/>
        <v>2.4144512152772135E-2</v>
      </c>
      <c r="R43" s="11">
        <f>[1]world_population_Raw_Data!I36</f>
        <v>37757813</v>
      </c>
      <c r="S43" s="18">
        <f t="shared" si="10"/>
        <v>0.20767516262259164</v>
      </c>
      <c r="T43" s="39">
        <f t="shared" si="11"/>
        <v>3.8460607652153866E-2</v>
      </c>
      <c r="U43" s="11">
        <f>[1]world_population_Raw_Data!H36</f>
        <v>42556984</v>
      </c>
      <c r="V43" s="18">
        <f t="shared" si="12"/>
        <v>0.12710405128602126</v>
      </c>
      <c r="W43" s="39">
        <f t="shared" si="13"/>
        <v>2.4218938956654057E-2</v>
      </c>
      <c r="X43" s="11">
        <f>[1]world_population_Raw_Data!G36</f>
        <v>44496122</v>
      </c>
      <c r="Y43" s="18">
        <f t="shared" si="0"/>
        <v>4.556568200415706E-2</v>
      </c>
      <c r="Z43" s="39">
        <f t="shared" si="14"/>
        <v>2.2529061691723751E-2</v>
      </c>
      <c r="AA43" s="19">
        <f t="shared" si="1"/>
        <v>5.5805645393951471E-3</v>
      </c>
      <c r="AB43" s="45">
        <f t="shared" si="15"/>
        <v>2.9501061118685445E-2</v>
      </c>
      <c r="AC43" s="81">
        <f t="shared" si="17"/>
        <v>56148292.151042223</v>
      </c>
      <c r="AD43" s="81"/>
    </row>
    <row r="44" spans="2:30">
      <c r="B44" s="8">
        <f>[1]world_population_Raw_Data!B37</f>
        <v>36</v>
      </c>
      <c r="C44" s="9" t="str">
        <f>[1]world_population_Raw_Data!D37</f>
        <v>Afghanistan</v>
      </c>
      <c r="D44" s="10" t="str">
        <f>[1]world_population_Raw_Data!F37</f>
        <v>Asia</v>
      </c>
      <c r="E44" s="11">
        <f>[1]world_population_Raw_Data!N37</f>
        <v>10752971</v>
      </c>
      <c r="F44" s="11">
        <f>[1]world_population_Raw_Data!M37</f>
        <v>12486631</v>
      </c>
      <c r="G44" s="18">
        <f t="shared" si="2"/>
        <v>0.16122613926885881</v>
      </c>
      <c r="H44" s="39">
        <f t="shared" si="3"/>
        <v>1.0150599211307993</v>
      </c>
      <c r="I44" s="11">
        <f>[1]world_population_Raw_Data!L37</f>
        <v>10694796</v>
      </c>
      <c r="J44" s="18">
        <f t="shared" si="4"/>
        <v>-0.14350027641563204</v>
      </c>
      <c r="K44" s="39">
        <f t="shared" si="5"/>
        <v>0.98462922657504981</v>
      </c>
      <c r="L44" s="11">
        <f>[1]world_population_Raw_Data!K37</f>
        <v>19542982</v>
      </c>
      <c r="M44" s="18">
        <f t="shared" si="6"/>
        <v>0.82733564997406217</v>
      </c>
      <c r="N44" s="39">
        <f t="shared" si="7"/>
        <v>6.2140166570049171E-2</v>
      </c>
      <c r="O44" s="11">
        <f>[1]world_population_Raw_Data!J37</f>
        <v>28189672</v>
      </c>
      <c r="P44" s="18">
        <f t="shared" si="8"/>
        <v>0.4424447609888808</v>
      </c>
      <c r="Q44" s="39">
        <f t="shared" si="9"/>
        <v>3.7313235012619739E-2</v>
      </c>
      <c r="R44" s="11">
        <f>[1]world_population_Raw_Data!I37</f>
        <v>33753499</v>
      </c>
      <c r="S44" s="18">
        <f t="shared" si="10"/>
        <v>0.1973711152084352</v>
      </c>
      <c r="T44" s="39">
        <f t="shared" si="11"/>
        <v>3.6682471532844874E-2</v>
      </c>
      <c r="U44" s="11">
        <f>[1]world_population_Raw_Data!H37</f>
        <v>38972230</v>
      </c>
      <c r="V44" s="18">
        <f t="shared" si="12"/>
        <v>0.15461303730318449</v>
      </c>
      <c r="W44" s="39">
        <f t="shared" si="13"/>
        <v>2.9170410528617907E-2</v>
      </c>
      <c r="X44" s="11">
        <f>[1]world_population_Raw_Data!G37</f>
        <v>41128771</v>
      </c>
      <c r="Y44" s="18">
        <f t="shared" si="0"/>
        <v>5.5335324665794078E-2</v>
      </c>
      <c r="Z44" s="39">
        <f t="shared" si="14"/>
        <v>2.7295149733412405E-2</v>
      </c>
      <c r="AA44" s="19">
        <f t="shared" si="1"/>
        <v>5.1582419023281055E-3</v>
      </c>
      <c r="AB44" s="45">
        <f t="shared" si="15"/>
        <v>2.6134236839159719E-2</v>
      </c>
      <c r="AC44" s="81">
        <f t="shared" si="17"/>
        <v>50556750.998569138</v>
      </c>
      <c r="AD44" s="81"/>
    </row>
    <row r="45" spans="2:30">
      <c r="B45" s="8">
        <f>[1]world_population_Raw_Data!B38</f>
        <v>37</v>
      </c>
      <c r="C45" s="9" t="str">
        <f>[1]world_population_Raw_Data!D38</f>
        <v>Poland</v>
      </c>
      <c r="D45" s="10" t="str">
        <f>[1]world_population_Raw_Data!F38</f>
        <v>Europe</v>
      </c>
      <c r="E45" s="11">
        <f>[1]world_population_Raw_Data!N38</f>
        <v>32482943</v>
      </c>
      <c r="F45" s="11">
        <f>[1]world_population_Raw_Data!M38</f>
        <v>35521429</v>
      </c>
      <c r="G45" s="18">
        <f t="shared" si="2"/>
        <v>9.3540970102370349E-2</v>
      </c>
      <c r="H45" s="39">
        <f t="shared" si="3"/>
        <v>1.008982202775383</v>
      </c>
      <c r="I45" s="11">
        <f>[1]world_population_Raw_Data!L38</f>
        <v>38064255</v>
      </c>
      <c r="J45" s="18">
        <f t="shared" si="4"/>
        <v>7.1585689866249469E-2</v>
      </c>
      <c r="K45" s="39">
        <f t="shared" si="5"/>
        <v>1.0069379069961917</v>
      </c>
      <c r="L45" s="11">
        <f>[1]world_population_Raw_Data!K38</f>
        <v>38504431</v>
      </c>
      <c r="M45" s="18">
        <f t="shared" si="6"/>
        <v>1.1564025093884012E-2</v>
      </c>
      <c r="N45" s="39">
        <f t="shared" si="7"/>
        <v>1.1504285156809235E-3</v>
      </c>
      <c r="O45" s="11">
        <f>[1]world_population_Raw_Data!J38</f>
        <v>38597353</v>
      </c>
      <c r="P45" s="18">
        <f t="shared" si="8"/>
        <v>2.4132806948893751E-3</v>
      </c>
      <c r="Q45" s="39">
        <f t="shared" si="9"/>
        <v>2.4106639278320685E-4</v>
      </c>
      <c r="R45" s="11">
        <f>[1]world_population_Raw_Data!I38</f>
        <v>38553146</v>
      </c>
      <c r="S45" s="18">
        <f t="shared" si="10"/>
        <v>-1.1453376090324121E-3</v>
      </c>
      <c r="T45" s="39">
        <f t="shared" si="11"/>
        <v>-2.2917253784116021E-4</v>
      </c>
      <c r="U45" s="11">
        <f>[1]world_population_Raw_Data!H38</f>
        <v>38428366</v>
      </c>
      <c r="V45" s="18">
        <f t="shared" si="12"/>
        <v>-3.2365711477864868E-3</v>
      </c>
      <c r="W45" s="39">
        <f t="shared" si="13"/>
        <v>-6.4815389208605634E-4</v>
      </c>
      <c r="X45" s="11">
        <f>[1]world_population_Raw_Data!G38</f>
        <v>39857145</v>
      </c>
      <c r="Y45" s="18">
        <f t="shared" si="0"/>
        <v>3.7180321432350262E-2</v>
      </c>
      <c r="Z45" s="39">
        <f t="shared" si="14"/>
        <v>1.8420503246252551E-2</v>
      </c>
      <c r="AA45" s="19">
        <f t="shared" si="1"/>
        <v>4.9987585441385336E-3</v>
      </c>
      <c r="AB45" s="45">
        <f t="shared" si="15"/>
        <v>3.9421067760816442E-3</v>
      </c>
      <c r="AC45" s="81">
        <f t="shared" si="17"/>
        <v>41131594.252485611</v>
      </c>
      <c r="AD45" s="81"/>
    </row>
    <row r="46" spans="2:30">
      <c r="B46" s="8">
        <f>[1]world_population_Raw_Data!B39</f>
        <v>38</v>
      </c>
      <c r="C46" s="9" t="str">
        <f>[1]world_population_Raw_Data!D39</f>
        <v>Ukraine</v>
      </c>
      <c r="D46" s="10" t="str">
        <f>[1]world_population_Raw_Data!F39</f>
        <v>Europe</v>
      </c>
      <c r="E46" s="11">
        <f>[1]world_population_Raw_Data!N39</f>
        <v>47279086</v>
      </c>
      <c r="F46" s="11">
        <f>[1]world_population_Raw_Data!M39</f>
        <v>49973920</v>
      </c>
      <c r="G46" s="18">
        <f t="shared" si="2"/>
        <v>5.6998436898716698E-2</v>
      </c>
      <c r="H46" s="39">
        <f t="shared" si="3"/>
        <v>1.0055587154506462</v>
      </c>
      <c r="I46" s="11">
        <f>[1]world_population_Raw_Data!L39</f>
        <v>51589817</v>
      </c>
      <c r="J46" s="18">
        <f t="shared" si="4"/>
        <v>3.2334805834723389E-2</v>
      </c>
      <c r="K46" s="39">
        <f t="shared" si="5"/>
        <v>1.0031873727748322</v>
      </c>
      <c r="L46" s="11">
        <f>[1]world_population_Raw_Data!K39</f>
        <v>48879755</v>
      </c>
      <c r="M46" s="18">
        <f t="shared" si="6"/>
        <v>-5.2530948113268167E-2</v>
      </c>
      <c r="N46" s="39">
        <f t="shared" si="7"/>
        <v>-5.3815677488762148E-3</v>
      </c>
      <c r="O46" s="11">
        <f>[1]world_population_Raw_Data!J39</f>
        <v>45683020</v>
      </c>
      <c r="P46" s="18">
        <f t="shared" si="8"/>
        <v>-6.5399980012174772E-2</v>
      </c>
      <c r="Q46" s="39">
        <f t="shared" si="9"/>
        <v>-6.7408406487633465E-3</v>
      </c>
      <c r="R46" s="11">
        <f>[1]world_population_Raw_Data!I39</f>
        <v>44982564</v>
      </c>
      <c r="S46" s="18">
        <f t="shared" si="10"/>
        <v>-1.5332961787552574E-2</v>
      </c>
      <c r="T46" s="39">
        <f t="shared" si="11"/>
        <v>-3.085575243129024E-3</v>
      </c>
      <c r="U46" s="11">
        <f>[1]world_population_Raw_Data!H39</f>
        <v>43909666</v>
      </c>
      <c r="V46" s="18">
        <f t="shared" si="12"/>
        <v>-2.3851419407750967E-2</v>
      </c>
      <c r="W46" s="39">
        <f t="shared" si="13"/>
        <v>-4.8164574775665381E-3</v>
      </c>
      <c r="X46" s="11">
        <f>[1]world_population_Raw_Data!G39</f>
        <v>39701739</v>
      </c>
      <c r="Y46" s="18">
        <f t="shared" si="0"/>
        <v>-9.5831450870065824E-2</v>
      </c>
      <c r="Z46" s="39">
        <f t="shared" si="14"/>
        <v>-4.9122221770886987E-2</v>
      </c>
      <c r="AA46" s="19">
        <f t="shared" si="1"/>
        <v>4.9792680093721725E-3</v>
      </c>
      <c r="AB46" s="45">
        <f t="shared" si="15"/>
        <v>-3.3534616797961103E-3</v>
      </c>
      <c r="AC46" s="81">
        <f t="shared" si="17"/>
        <v>38649050.696095526</v>
      </c>
      <c r="AD46" s="81"/>
    </row>
    <row r="47" spans="2:30">
      <c r="B47" s="8">
        <f>[1]world_population_Raw_Data!B40</f>
        <v>39</v>
      </c>
      <c r="C47" s="9" t="str">
        <f>[1]world_population_Raw_Data!D40</f>
        <v>Canada</v>
      </c>
      <c r="D47" s="10" t="str">
        <f>[1]world_population_Raw_Data!F40</f>
        <v>North America</v>
      </c>
      <c r="E47" s="11">
        <f>[1]world_population_Raw_Data!N40</f>
        <v>21434577</v>
      </c>
      <c r="F47" s="11">
        <f>[1]world_population_Raw_Data!M40</f>
        <v>24511510</v>
      </c>
      <c r="G47" s="18">
        <f t="shared" si="2"/>
        <v>0.14354997535057493</v>
      </c>
      <c r="H47" s="39">
        <f t="shared" si="3"/>
        <v>1.0135041116029986</v>
      </c>
      <c r="I47" s="11">
        <f>[1]world_population_Raw_Data!L40</f>
        <v>27657204</v>
      </c>
      <c r="J47" s="18">
        <f t="shared" si="4"/>
        <v>0.12833538203072761</v>
      </c>
      <c r="K47" s="39">
        <f t="shared" si="5"/>
        <v>1.0121475324951272</v>
      </c>
      <c r="L47" s="11">
        <f>[1]world_population_Raw_Data!K40</f>
        <v>30683313</v>
      </c>
      <c r="M47" s="18">
        <f t="shared" si="6"/>
        <v>0.1094148562522806</v>
      </c>
      <c r="N47" s="39">
        <f t="shared" si="7"/>
        <v>1.0437365207851768E-2</v>
      </c>
      <c r="O47" s="11">
        <f>[1]world_population_Raw_Data!J40</f>
        <v>33963412</v>
      </c>
      <c r="P47" s="18">
        <f t="shared" si="8"/>
        <v>0.10690172211846875</v>
      </c>
      <c r="Q47" s="39">
        <f t="shared" si="9"/>
        <v>1.0208239294826615E-2</v>
      </c>
      <c r="R47" s="11">
        <f>[1]world_population_Raw_Data!I40</f>
        <v>35732126</v>
      </c>
      <c r="S47" s="18">
        <f t="shared" si="10"/>
        <v>5.2077041022851295E-2</v>
      </c>
      <c r="T47" s="39">
        <f t="shared" si="11"/>
        <v>1.0204988235759993E-2</v>
      </c>
      <c r="U47" s="11">
        <f>[1]world_population_Raw_Data!H40</f>
        <v>37888705</v>
      </c>
      <c r="V47" s="18">
        <f t="shared" si="12"/>
        <v>6.0354063455390253E-2</v>
      </c>
      <c r="W47" s="39">
        <f t="shared" si="13"/>
        <v>1.1789529968055934E-2</v>
      </c>
      <c r="X47" s="11">
        <f>[1]world_population_Raw_Data!G40</f>
        <v>38454327</v>
      </c>
      <c r="Y47" s="18">
        <f t="shared" si="0"/>
        <v>1.4928512336328201E-2</v>
      </c>
      <c r="Z47" s="39">
        <f t="shared" si="14"/>
        <v>7.4366046239973116E-3</v>
      </c>
      <c r="AA47" s="19">
        <f t="shared" si="1"/>
        <v>4.8228214953767289E-3</v>
      </c>
      <c r="AB47" s="45">
        <f t="shared" si="15"/>
        <v>1.1303131134611233E-2</v>
      </c>
      <c r="AC47" s="81">
        <f t="shared" si="17"/>
        <v>42072278.250332236</v>
      </c>
      <c r="AD47" s="81"/>
    </row>
    <row r="48" spans="2:30">
      <c r="B48" s="8">
        <f>[1]world_population_Raw_Data!B41</f>
        <v>40</v>
      </c>
      <c r="C48" s="9" t="str">
        <f>[1]world_population_Raw_Data!D41</f>
        <v>Morocco</v>
      </c>
      <c r="D48" s="10" t="str">
        <f>[1]world_population_Raw_Data!F41</f>
        <v>Africa</v>
      </c>
      <c r="E48" s="11">
        <f>[1]world_population_Raw_Data!N41</f>
        <v>15274351</v>
      </c>
      <c r="F48" s="11">
        <f>[1]world_population_Raw_Data!M41</f>
        <v>19678444</v>
      </c>
      <c r="G48" s="18">
        <f t="shared" si="2"/>
        <v>0.28833257792753353</v>
      </c>
      <c r="H48" s="39">
        <f t="shared" si="3"/>
        <v>1.0256585362709909</v>
      </c>
      <c r="I48" s="11">
        <f>[1]world_population_Raw_Data!L41</f>
        <v>24570814</v>
      </c>
      <c r="J48" s="18">
        <f t="shared" si="4"/>
        <v>0.24861569339527048</v>
      </c>
      <c r="K48" s="39">
        <f t="shared" si="5"/>
        <v>1.0224518825901392</v>
      </c>
      <c r="L48" s="11">
        <f>[1]world_population_Raw_Data!K41</f>
        <v>28554415</v>
      </c>
      <c r="M48" s="18">
        <f t="shared" si="6"/>
        <v>0.16212735158061919</v>
      </c>
      <c r="N48" s="39">
        <f t="shared" si="7"/>
        <v>1.5138671095653367E-2</v>
      </c>
      <c r="O48" s="11">
        <f>[1]world_population_Raw_Data!J41</f>
        <v>32464865</v>
      </c>
      <c r="P48" s="18">
        <f t="shared" si="8"/>
        <v>0.13694729869268904</v>
      </c>
      <c r="Q48" s="39">
        <f t="shared" si="9"/>
        <v>1.2917404343707473E-2</v>
      </c>
      <c r="R48" s="11">
        <f>[1]world_population_Raw_Data!I41</f>
        <v>34680458</v>
      </c>
      <c r="S48" s="18">
        <f t="shared" si="10"/>
        <v>6.8245871344297909E-2</v>
      </c>
      <c r="T48" s="39">
        <f t="shared" si="11"/>
        <v>1.3291138384928791E-2</v>
      </c>
      <c r="U48" s="11">
        <f>[1]world_population_Raw_Data!H41</f>
        <v>36688772</v>
      </c>
      <c r="V48" s="18">
        <f t="shared" si="12"/>
        <v>5.7909096817579511E-2</v>
      </c>
      <c r="W48" s="39">
        <f t="shared" si="13"/>
        <v>1.1322501732509149E-2</v>
      </c>
      <c r="X48" s="11">
        <f>[1]world_population_Raw_Data!G41</f>
        <v>37457971</v>
      </c>
      <c r="Y48" s="18">
        <f t="shared" si="0"/>
        <v>2.0965515008242848E-2</v>
      </c>
      <c r="Z48" s="39">
        <f t="shared" si="14"/>
        <v>1.0428381929289854E-2</v>
      </c>
      <c r="AA48" s="19">
        <f t="shared" si="1"/>
        <v>4.6978616401737614E-3</v>
      </c>
      <c r="AB48" s="45">
        <f t="shared" si="15"/>
        <v>1.7400511391102658E-2</v>
      </c>
      <c r="AC48" s="81">
        <f t="shared" si="17"/>
        <v>43001129.359314144</v>
      </c>
      <c r="AD48" s="81"/>
    </row>
    <row r="49" spans="2:30">
      <c r="B49" s="8">
        <f>[1]world_population_Raw_Data!B42</f>
        <v>41</v>
      </c>
      <c r="C49" s="9" t="str">
        <f>[1]world_population_Raw_Data!D42</f>
        <v>Saudi Arabia</v>
      </c>
      <c r="D49" s="10" t="str">
        <f>[1]world_population_Raw_Data!F42</f>
        <v>Asia</v>
      </c>
      <c r="E49" s="11">
        <f>[1]world_population_Raw_Data!N42</f>
        <v>6106191</v>
      </c>
      <c r="F49" s="11">
        <f>[1]world_population_Raw_Data!M42</f>
        <v>10171710</v>
      </c>
      <c r="G49" s="18">
        <f t="shared" si="2"/>
        <v>0.66580278933299009</v>
      </c>
      <c r="H49" s="39">
        <f t="shared" si="3"/>
        <v>1.0523552172440849</v>
      </c>
      <c r="I49" s="11">
        <f>[1]world_population_Raw_Data!L42</f>
        <v>16004763</v>
      </c>
      <c r="J49" s="18">
        <f t="shared" si="4"/>
        <v>0.57345844504021448</v>
      </c>
      <c r="K49" s="39">
        <f t="shared" si="5"/>
        <v>1.0463705976940447</v>
      </c>
      <c r="L49" s="11">
        <f>[1]world_population_Raw_Data!K42</f>
        <v>21547390</v>
      </c>
      <c r="M49" s="18">
        <f t="shared" si="6"/>
        <v>0.34631109501590246</v>
      </c>
      <c r="N49" s="39">
        <f t="shared" si="7"/>
        <v>3.0183388013953483E-2</v>
      </c>
      <c r="O49" s="11">
        <f>[1]world_population_Raw_Data!J42</f>
        <v>29411929</v>
      </c>
      <c r="P49" s="18">
        <f t="shared" si="8"/>
        <v>0.36498801014879295</v>
      </c>
      <c r="Q49" s="39">
        <f t="shared" si="9"/>
        <v>3.1603682258829924E-2</v>
      </c>
      <c r="R49" s="11">
        <f>[1]world_population_Raw_Data!I42</f>
        <v>32749848</v>
      </c>
      <c r="S49" s="18">
        <f t="shared" si="10"/>
        <v>0.11348861205261307</v>
      </c>
      <c r="T49" s="39">
        <f t="shared" si="11"/>
        <v>2.1732377659334334E-2</v>
      </c>
      <c r="U49" s="11">
        <f>[1]world_population_Raw_Data!H42</f>
        <v>35997107</v>
      </c>
      <c r="V49" s="18">
        <f t="shared" si="12"/>
        <v>9.9153406757796256E-2</v>
      </c>
      <c r="W49" s="39">
        <f t="shared" si="13"/>
        <v>1.9087939838997592E-2</v>
      </c>
      <c r="X49" s="11">
        <f>[1]world_population_Raw_Data!G42</f>
        <v>36408820</v>
      </c>
      <c r="Y49" s="18">
        <f t="shared" si="0"/>
        <v>1.1437391343698814E-2</v>
      </c>
      <c r="Z49" s="39">
        <f t="shared" si="14"/>
        <v>5.702436779238873E-3</v>
      </c>
      <c r="AA49" s="19">
        <f t="shared" si="1"/>
        <v>4.5662804010925002E-3</v>
      </c>
      <c r="AB49" s="45">
        <f t="shared" si="15"/>
        <v>3.4932999635471695E-2</v>
      </c>
      <c r="AC49" s="81">
        <f t="shared" si="17"/>
        <v>47918639.99880489</v>
      </c>
      <c r="AD49" s="81"/>
    </row>
    <row r="50" spans="2:30">
      <c r="B50" s="8">
        <f>[1]world_population_Raw_Data!B43</f>
        <v>42</v>
      </c>
      <c r="C50" s="9" t="str">
        <f>[1]world_population_Raw_Data!D43</f>
        <v>Angola</v>
      </c>
      <c r="D50" s="10" t="str">
        <f>[1]world_population_Raw_Data!F43</f>
        <v>Africa</v>
      </c>
      <c r="E50" s="11">
        <f>[1]world_population_Raw_Data!N43</f>
        <v>6029700</v>
      </c>
      <c r="F50" s="11">
        <f>[1]world_population_Raw_Data!M43</f>
        <v>8330047</v>
      </c>
      <c r="G50" s="18">
        <f t="shared" si="2"/>
        <v>0.38150272816226344</v>
      </c>
      <c r="H50" s="39">
        <f t="shared" si="3"/>
        <v>1.0328450552983188</v>
      </c>
      <c r="I50" s="11">
        <f>[1]world_population_Raw_Data!L43</f>
        <v>11828638</v>
      </c>
      <c r="J50" s="18">
        <f t="shared" si="4"/>
        <v>0.41999654983939466</v>
      </c>
      <c r="K50" s="39">
        <f t="shared" si="5"/>
        <v>1.0356874863124468</v>
      </c>
      <c r="L50" s="11">
        <f>[1]world_population_Raw_Data!K43</f>
        <v>16394062</v>
      </c>
      <c r="M50" s="18">
        <f t="shared" si="6"/>
        <v>0.38596362489071018</v>
      </c>
      <c r="N50" s="39">
        <f t="shared" si="7"/>
        <v>3.317807917532356E-2</v>
      </c>
      <c r="O50" s="11">
        <f>[1]world_population_Raw_Data!J43</f>
        <v>23364185</v>
      </c>
      <c r="P50" s="18">
        <f t="shared" si="8"/>
        <v>0.4251614395504909</v>
      </c>
      <c r="Q50" s="39">
        <f t="shared" si="9"/>
        <v>3.6063577110491796E-2</v>
      </c>
      <c r="R50" s="11">
        <f>[1]world_population_Raw_Data!I43</f>
        <v>28127721</v>
      </c>
      <c r="S50" s="18">
        <f t="shared" si="10"/>
        <v>0.20388196720750157</v>
      </c>
      <c r="T50" s="39">
        <f t="shared" si="11"/>
        <v>3.7807444880664232E-2</v>
      </c>
      <c r="U50" s="11">
        <f>[1]world_population_Raw_Data!H43</f>
        <v>33428485</v>
      </c>
      <c r="V50" s="18">
        <f t="shared" si="12"/>
        <v>0.18845337665287565</v>
      </c>
      <c r="W50" s="39">
        <f t="shared" si="13"/>
        <v>3.5133657088569636E-2</v>
      </c>
      <c r="X50" s="11">
        <f>[1]world_population_Raw_Data!G43</f>
        <v>35588987</v>
      </c>
      <c r="Y50" s="18">
        <f t="shared" si="0"/>
        <v>6.4630568809803973E-2</v>
      </c>
      <c r="Z50" s="39">
        <f t="shared" si="14"/>
        <v>3.1809366506140968E-2</v>
      </c>
      <c r="AA50" s="19">
        <f t="shared" si="1"/>
        <v>4.4634595087903366E-3</v>
      </c>
      <c r="AB50" s="45">
        <f t="shared" si="15"/>
        <v>3.4730632291498198E-2</v>
      </c>
      <c r="AC50" s="81">
        <f t="shared" si="17"/>
        <v>46766414.648055464</v>
      </c>
      <c r="AD50" s="81"/>
    </row>
    <row r="51" spans="2:30">
      <c r="B51" s="8">
        <f>[1]world_population_Raw_Data!B44</f>
        <v>43</v>
      </c>
      <c r="C51" s="9" t="str">
        <f>[1]world_population_Raw_Data!D44</f>
        <v>Uzbekistan</v>
      </c>
      <c r="D51" s="10" t="str">
        <f>[1]world_population_Raw_Data!F44</f>
        <v>Asia</v>
      </c>
      <c r="E51" s="11">
        <f>[1]world_population_Raw_Data!N44</f>
        <v>12011361</v>
      </c>
      <c r="F51" s="11">
        <f>[1]world_population_Raw_Data!M44</f>
        <v>15947129</v>
      </c>
      <c r="G51" s="18">
        <f t="shared" si="2"/>
        <v>0.32767044467317236</v>
      </c>
      <c r="H51" s="39">
        <f t="shared" si="3"/>
        <v>1.0287480588570155</v>
      </c>
      <c r="I51" s="11">
        <f>[1]world_population_Raw_Data!L44</f>
        <v>20579100</v>
      </c>
      <c r="J51" s="18">
        <f t="shared" si="4"/>
        <v>0.29045798776695164</v>
      </c>
      <c r="K51" s="39">
        <f t="shared" si="5"/>
        <v>1.0258276174632364</v>
      </c>
      <c r="L51" s="11">
        <f>[1]world_population_Raw_Data!K44</f>
        <v>24925554</v>
      </c>
      <c r="M51" s="18">
        <f t="shared" si="6"/>
        <v>0.21120719564995555</v>
      </c>
      <c r="N51" s="39">
        <f t="shared" si="7"/>
        <v>1.9346519129523232E-2</v>
      </c>
      <c r="O51" s="11">
        <f>[1]world_population_Raw_Data!J44</f>
        <v>28614227</v>
      </c>
      <c r="P51" s="18">
        <f t="shared" si="8"/>
        <v>0.14798760340492331</v>
      </c>
      <c r="Q51" s="39">
        <f t="shared" si="9"/>
        <v>1.3896724058635401E-2</v>
      </c>
      <c r="R51" s="11">
        <f>[1]world_population_Raw_Data!I44</f>
        <v>30949417</v>
      </c>
      <c r="S51" s="18">
        <f t="shared" si="10"/>
        <v>8.1609403601921524E-2</v>
      </c>
      <c r="T51" s="39">
        <f t="shared" si="11"/>
        <v>1.5813758799908983E-2</v>
      </c>
      <c r="U51" s="11">
        <f>[1]world_population_Raw_Data!H44</f>
        <v>33526656</v>
      </c>
      <c r="V51" s="18">
        <f t="shared" si="12"/>
        <v>8.3272618673237042E-2</v>
      </c>
      <c r="W51" s="39">
        <f t="shared" si="13"/>
        <v>1.6125974744462201E-2</v>
      </c>
      <c r="X51" s="11">
        <f>[1]world_population_Raw_Data!G44</f>
        <v>34627652</v>
      </c>
      <c r="Y51" s="18">
        <f t="shared" si="0"/>
        <v>3.2839421861816459E-2</v>
      </c>
      <c r="Z51" s="39">
        <f t="shared" si="14"/>
        <v>1.6287076500442588E-2</v>
      </c>
      <c r="AA51" s="19">
        <f t="shared" si="1"/>
        <v>4.3428918779419802E-3</v>
      </c>
      <c r="AB51" s="45">
        <f t="shared" si="15"/>
        <v>2.0570240916413907E-2</v>
      </c>
      <c r="AC51" s="81">
        <f>X51*(1+AB51)^8</f>
        <v>40753625.296136267</v>
      </c>
      <c r="AD51" s="81"/>
    </row>
    <row r="52" spans="2:30">
      <c r="B52" s="8">
        <f>[1]world_population_Raw_Data!B45</f>
        <v>44</v>
      </c>
      <c r="C52" s="9" t="str">
        <f>[1]world_population_Raw_Data!D45</f>
        <v>Peru</v>
      </c>
      <c r="D52" s="10" t="str">
        <f>[1]world_population_Raw_Data!F45</f>
        <v>South America</v>
      </c>
      <c r="E52" s="11">
        <f>[1]world_population_Raw_Data!N45</f>
        <v>13562371</v>
      </c>
      <c r="F52" s="11">
        <f>[1]world_population_Raw_Data!M45</f>
        <v>17492406</v>
      </c>
      <c r="G52" s="18">
        <f t="shared" si="2"/>
        <v>0.28977492209879824</v>
      </c>
      <c r="H52" s="39">
        <f t="shared" si="3"/>
        <v>1.0257733053822533</v>
      </c>
      <c r="I52" s="11">
        <f>[1]world_population_Raw_Data!L45</f>
        <v>22109099</v>
      </c>
      <c r="J52" s="18">
        <f t="shared" si="4"/>
        <v>0.26392555718178506</v>
      </c>
      <c r="K52" s="39">
        <f t="shared" si="5"/>
        <v>1.0236986947751183</v>
      </c>
      <c r="L52" s="11">
        <f>[1]world_population_Raw_Data!K45</f>
        <v>26654439</v>
      </c>
      <c r="M52" s="18">
        <f t="shared" si="6"/>
        <v>0.20558684910678632</v>
      </c>
      <c r="N52" s="39">
        <f t="shared" si="7"/>
        <v>1.8872522687201965E-2</v>
      </c>
      <c r="O52" s="11">
        <f>[1]world_population_Raw_Data!J45</f>
        <v>29229572</v>
      </c>
      <c r="P52" s="18">
        <f t="shared" si="8"/>
        <v>9.6611787627569279E-2</v>
      </c>
      <c r="Q52" s="39">
        <f t="shared" si="9"/>
        <v>9.2651818250244489E-3</v>
      </c>
      <c r="R52" s="11">
        <f>[1]world_population_Raw_Data!I45</f>
        <v>30711863</v>
      </c>
      <c r="S52" s="18">
        <f t="shared" si="10"/>
        <v>5.0712032321239602E-2</v>
      </c>
      <c r="T52" s="39">
        <f t="shared" si="11"/>
        <v>9.9427156568177022E-3</v>
      </c>
      <c r="U52" s="11">
        <f>[1]world_population_Raw_Data!H45</f>
        <v>33304756</v>
      </c>
      <c r="V52" s="18">
        <f t="shared" si="12"/>
        <v>8.4426431571409388E-2</v>
      </c>
      <c r="W52" s="39">
        <f t="shared" si="13"/>
        <v>1.634234134485113E-2</v>
      </c>
      <c r="X52" s="11">
        <f>[1]world_population_Raw_Data!G45</f>
        <v>34049588</v>
      </c>
      <c r="Y52" s="18">
        <f t="shared" si="0"/>
        <v>2.2364133218691049E-2</v>
      </c>
      <c r="Z52" s="39">
        <f t="shared" si="14"/>
        <v>1.1120236776364312E-2</v>
      </c>
      <c r="AA52" s="19">
        <f t="shared" si="1"/>
        <v>4.2703928979207339E-3</v>
      </c>
      <c r="AB52" s="45">
        <f t="shared" si="15"/>
        <v>1.7859898978539013E-2</v>
      </c>
      <c r="AC52" s="81">
        <f t="shared" ref="AC52:AC67" si="18">X52*(1+AB52)^8</f>
        <v>39229782.327483855</v>
      </c>
      <c r="AD52" s="81"/>
    </row>
    <row r="53" spans="2:30">
      <c r="B53" s="8">
        <f>[1]world_population_Raw_Data!B46</f>
        <v>45</v>
      </c>
      <c r="C53" s="9" t="str">
        <f>[1]world_population_Raw_Data!D46</f>
        <v>Malaysia</v>
      </c>
      <c r="D53" s="10" t="str">
        <f>[1]world_population_Raw_Data!F46</f>
        <v>Asia</v>
      </c>
      <c r="E53" s="11">
        <f>[1]world_population_Raw_Data!N46</f>
        <v>10306508</v>
      </c>
      <c r="F53" s="11">
        <f>[1]world_population_Raw_Data!M46</f>
        <v>13215707</v>
      </c>
      <c r="G53" s="18">
        <f t="shared" si="2"/>
        <v>0.2822681552277454</v>
      </c>
      <c r="H53" s="39">
        <f t="shared" si="3"/>
        <v>1.0251747138555647</v>
      </c>
      <c r="I53" s="11">
        <f>[1]world_population_Raw_Data!L46</f>
        <v>17517054</v>
      </c>
      <c r="J53" s="18">
        <f t="shared" si="4"/>
        <v>0.32547233379190382</v>
      </c>
      <c r="K53" s="39">
        <f t="shared" si="5"/>
        <v>1.028577610775526</v>
      </c>
      <c r="L53" s="11">
        <f>[1]world_population_Raw_Data!K46</f>
        <v>22945150</v>
      </c>
      <c r="M53" s="18">
        <f t="shared" si="6"/>
        <v>0.30987493673308308</v>
      </c>
      <c r="N53" s="39">
        <f t="shared" si="7"/>
        <v>2.7360782219564284E-2</v>
      </c>
      <c r="O53" s="11">
        <f>[1]world_population_Raw_Data!J46</f>
        <v>28717731</v>
      </c>
      <c r="P53" s="18">
        <f t="shared" si="8"/>
        <v>0.251581750391695</v>
      </c>
      <c r="Q53" s="39">
        <f t="shared" si="9"/>
        <v>2.2694504371155055E-2</v>
      </c>
      <c r="R53" s="11">
        <f>[1]world_population_Raw_Data!I46</f>
        <v>31068833</v>
      </c>
      <c r="S53" s="18">
        <f t="shared" si="10"/>
        <v>8.1869351029160348E-2</v>
      </c>
      <c r="T53" s="39">
        <f t="shared" si="11"/>
        <v>1.586258100709026E-2</v>
      </c>
      <c r="U53" s="11">
        <f>[1]world_population_Raw_Data!H46</f>
        <v>33199993</v>
      </c>
      <c r="V53" s="18">
        <f t="shared" si="12"/>
        <v>6.8594787580209399E-2</v>
      </c>
      <c r="W53" s="39">
        <f t="shared" si="13"/>
        <v>1.3357323063301063E-2</v>
      </c>
      <c r="X53" s="11">
        <f>[1]world_population_Raw_Data!G46</f>
        <v>33938221</v>
      </c>
      <c r="Y53" s="18">
        <f t="shared" si="0"/>
        <v>2.2235787820798637E-2</v>
      </c>
      <c r="Z53" s="39">
        <f t="shared" si="14"/>
        <v>1.1056767852724692E-2</v>
      </c>
      <c r="AA53" s="19">
        <f t="shared" si="1"/>
        <v>4.2564255968813572E-3</v>
      </c>
      <c r="AB53" s="45">
        <f t="shared" si="15"/>
        <v>2.3183231372028823E-2</v>
      </c>
      <c r="AC53" s="81">
        <f t="shared" si="18"/>
        <v>40767716.431266837</v>
      </c>
      <c r="AD53" s="81"/>
    </row>
    <row r="54" spans="2:30">
      <c r="B54" s="8">
        <f>[1]world_population_Raw_Data!B47</f>
        <v>46</v>
      </c>
      <c r="C54" s="9" t="str">
        <f>[1]world_population_Raw_Data!D47</f>
        <v>Yemen</v>
      </c>
      <c r="D54" s="10" t="str">
        <f>[1]world_population_Raw_Data!F47</f>
        <v>Asia</v>
      </c>
      <c r="E54" s="11">
        <f>[1]world_population_Raw_Data!N47</f>
        <v>6843607</v>
      </c>
      <c r="F54" s="11">
        <f>[1]world_population_Raw_Data!M47</f>
        <v>9204938</v>
      </c>
      <c r="G54" s="18">
        <f t="shared" si="2"/>
        <v>0.34504187630879446</v>
      </c>
      <c r="H54" s="39">
        <f t="shared" si="3"/>
        <v>1.0300862274795515</v>
      </c>
      <c r="I54" s="11">
        <f>[1]world_population_Raw_Data!L47</f>
        <v>13375121</v>
      </c>
      <c r="J54" s="18">
        <f t="shared" si="4"/>
        <v>0.45303759786323383</v>
      </c>
      <c r="K54" s="39">
        <f t="shared" si="5"/>
        <v>1.0380724977844988</v>
      </c>
      <c r="L54" s="11">
        <f>[1]world_population_Raw_Data!K47</f>
        <v>18628700</v>
      </c>
      <c r="M54" s="18">
        <f t="shared" si="6"/>
        <v>0.39278739982987815</v>
      </c>
      <c r="N54" s="39">
        <f t="shared" si="7"/>
        <v>3.3685639614847718E-2</v>
      </c>
      <c r="O54" s="11">
        <f>[1]world_population_Raw_Data!J47</f>
        <v>24743946</v>
      </c>
      <c r="P54" s="18">
        <f t="shared" si="8"/>
        <v>0.32827014230730001</v>
      </c>
      <c r="Q54" s="39">
        <f t="shared" si="9"/>
        <v>2.8794517103925443E-2</v>
      </c>
      <c r="R54" s="11">
        <f>[1]world_population_Raw_Data!I47</f>
        <v>28516545</v>
      </c>
      <c r="S54" s="18">
        <f t="shared" si="10"/>
        <v>0.15246553641848393</v>
      </c>
      <c r="T54" s="39">
        <f t="shared" si="11"/>
        <v>2.8787288145680989E-2</v>
      </c>
      <c r="U54" s="11">
        <f>[1]world_population_Raw_Data!H47</f>
        <v>32284046</v>
      </c>
      <c r="V54" s="18">
        <f t="shared" si="12"/>
        <v>0.13211632054303915</v>
      </c>
      <c r="W54" s="39">
        <f t="shared" si="13"/>
        <v>2.5128270009045162E-2</v>
      </c>
      <c r="X54" s="11">
        <f>[1]world_population_Raw_Data!G47</f>
        <v>33696614</v>
      </c>
      <c r="Y54" s="18">
        <f t="shared" si="0"/>
        <v>4.375436709512804E-2</v>
      </c>
      <c r="Z54" s="39">
        <f t="shared" si="14"/>
        <v>2.1642974377609203E-2</v>
      </c>
      <c r="AA54" s="19">
        <f t="shared" si="1"/>
        <v>4.2261240021340745E-3</v>
      </c>
      <c r="AB54" s="45">
        <f t="shared" si="15"/>
        <v>3.1130147455795676E-2</v>
      </c>
      <c r="AC54" s="81">
        <f t="shared" si="18"/>
        <v>43061994.400494859</v>
      </c>
      <c r="AD54" s="81"/>
    </row>
    <row r="55" spans="2:30">
      <c r="B55" s="8">
        <f>[1]world_population_Raw_Data!B48</f>
        <v>47</v>
      </c>
      <c r="C55" s="9" t="str">
        <f>[1]world_population_Raw_Data!D48</f>
        <v>Ghana</v>
      </c>
      <c r="D55" s="10" t="str">
        <f>[1]world_population_Raw_Data!F48</f>
        <v>Africa</v>
      </c>
      <c r="E55" s="11">
        <f>[1]world_population_Raw_Data!N48</f>
        <v>8861895</v>
      </c>
      <c r="F55" s="11">
        <f>[1]world_population_Raw_Data!M48</f>
        <v>11865246</v>
      </c>
      <c r="G55" s="18">
        <f t="shared" si="2"/>
        <v>0.33890618202991574</v>
      </c>
      <c r="H55" s="39">
        <f t="shared" si="3"/>
        <v>1.0296153643781074</v>
      </c>
      <c r="I55" s="11">
        <f>[1]world_population_Raw_Data!L48</f>
        <v>15446982</v>
      </c>
      <c r="J55" s="18">
        <f t="shared" si="4"/>
        <v>0.3018678247378942</v>
      </c>
      <c r="K55" s="39">
        <f t="shared" si="5"/>
        <v>1.026731034356108</v>
      </c>
      <c r="L55" s="11">
        <f>[1]world_population_Raw_Data!K48</f>
        <v>19665502</v>
      </c>
      <c r="M55" s="18">
        <f t="shared" si="6"/>
        <v>0.27309671235455574</v>
      </c>
      <c r="N55" s="39">
        <f t="shared" si="7"/>
        <v>2.4439085217247358E-2</v>
      </c>
      <c r="O55" s="11">
        <f>[1]world_population_Raw_Data!J48</f>
        <v>25574719</v>
      </c>
      <c r="P55" s="18">
        <f t="shared" si="8"/>
        <v>0.30048645592672896</v>
      </c>
      <c r="Q55" s="39">
        <f t="shared" si="9"/>
        <v>2.6622039275036924E-2</v>
      </c>
      <c r="R55" s="11">
        <f>[1]world_population_Raw_Data!I48</f>
        <v>28870939</v>
      </c>
      <c r="S55" s="18">
        <f t="shared" si="10"/>
        <v>0.12888587358476938</v>
      </c>
      <c r="T55" s="39">
        <f t="shared" si="11"/>
        <v>2.4542568918651808E-2</v>
      </c>
      <c r="U55" s="11">
        <f>[1]world_population_Raw_Data!H48</f>
        <v>32180401</v>
      </c>
      <c r="V55" s="18">
        <f t="shared" si="12"/>
        <v>0.11462952417307937</v>
      </c>
      <c r="W55" s="39">
        <f t="shared" si="13"/>
        <v>2.1941671111979311E-2</v>
      </c>
      <c r="X55" s="11">
        <f>[1]world_population_Raw_Data!G48</f>
        <v>33475870</v>
      </c>
      <c r="Y55" s="18">
        <f t="shared" si="0"/>
        <v>4.0256459203227457E-2</v>
      </c>
      <c r="Z55" s="39">
        <f t="shared" si="14"/>
        <v>1.9929634437213295E-2</v>
      </c>
      <c r="AA55" s="19">
        <f t="shared" si="1"/>
        <v>4.1984389796351652E-3</v>
      </c>
      <c r="AB55" s="45">
        <f t="shared" si="15"/>
        <v>2.5888358046686655E-2</v>
      </c>
      <c r="AC55" s="81">
        <f t="shared" si="18"/>
        <v>41070754.745388366</v>
      </c>
      <c r="AD55" s="81"/>
    </row>
    <row r="56" spans="2:30">
      <c r="B56" s="8">
        <f>[1]world_population_Raw_Data!B49</f>
        <v>48</v>
      </c>
      <c r="C56" s="9" t="str">
        <f>[1]world_population_Raw_Data!D49</f>
        <v>Mozambique</v>
      </c>
      <c r="D56" s="10" t="str">
        <f>[1]world_population_Raw_Data!F49</f>
        <v>Africa</v>
      </c>
      <c r="E56" s="11">
        <f>[1]world_population_Raw_Data!N49</f>
        <v>8411676</v>
      </c>
      <c r="F56" s="11">
        <f>[1]world_population_Raw_Data!M49</f>
        <v>11413587</v>
      </c>
      <c r="G56" s="18">
        <f t="shared" si="2"/>
        <v>0.35687430186326718</v>
      </c>
      <c r="H56" s="39">
        <f t="shared" si="3"/>
        <v>1.0309888339988929</v>
      </c>
      <c r="I56" s="11">
        <f>[1]world_population_Raw_Data!L49</f>
        <v>13303459</v>
      </c>
      <c r="J56" s="18">
        <f t="shared" si="4"/>
        <v>0.16558089932639056</v>
      </c>
      <c r="K56" s="39">
        <f t="shared" si="5"/>
        <v>1.0154399418963627</v>
      </c>
      <c r="L56" s="11">
        <f>[1]world_population_Raw_Data!K49</f>
        <v>17768505</v>
      </c>
      <c r="M56" s="18">
        <f t="shared" si="6"/>
        <v>0.33563045520717583</v>
      </c>
      <c r="N56" s="39">
        <f t="shared" si="7"/>
        <v>2.9363184075040349E-2</v>
      </c>
      <c r="O56" s="11">
        <f>[1]world_population_Raw_Data!J49</f>
        <v>23073723</v>
      </c>
      <c r="P56" s="18">
        <f t="shared" si="8"/>
        <v>0.29857424696112589</v>
      </c>
      <c r="Q56" s="39">
        <f t="shared" si="9"/>
        <v>2.6470986874115976E-2</v>
      </c>
      <c r="R56" s="11">
        <f>[1]world_population_Raw_Data!I49</f>
        <v>26843246</v>
      </c>
      <c r="S56" s="18">
        <f t="shared" si="10"/>
        <v>0.1633686509975005</v>
      </c>
      <c r="T56" s="39">
        <f t="shared" si="11"/>
        <v>3.0726569893206657E-2</v>
      </c>
      <c r="U56" s="11">
        <f>[1]world_population_Raw_Data!H49</f>
        <v>31178239</v>
      </c>
      <c r="V56" s="18">
        <f t="shared" si="12"/>
        <v>0.16149287608510535</v>
      </c>
      <c r="W56" s="39">
        <f t="shared" si="13"/>
        <v>3.0393973825211029E-2</v>
      </c>
      <c r="X56" s="11">
        <f>[1]world_population_Raw_Data!G49</f>
        <v>32969517</v>
      </c>
      <c r="Y56" s="18">
        <f t="shared" si="0"/>
        <v>5.7452827916291228E-2</v>
      </c>
      <c r="Z56" s="39">
        <f t="shared" si="14"/>
        <v>2.8325253952411256E-2</v>
      </c>
      <c r="AA56" s="19">
        <f t="shared" si="1"/>
        <v>4.1349337690863366E-3</v>
      </c>
      <c r="AB56" s="45">
        <f t="shared" si="15"/>
        <v>2.6616571177492165E-2</v>
      </c>
      <c r="AC56" s="81">
        <f t="shared" si="18"/>
        <v>40679794.105554953</v>
      </c>
      <c r="AD56" s="81"/>
    </row>
    <row r="57" spans="2:30">
      <c r="B57" s="8">
        <f>[1]world_population_Raw_Data!B50</f>
        <v>49</v>
      </c>
      <c r="C57" s="9" t="str">
        <f>[1]world_population_Raw_Data!D50</f>
        <v>Nepal</v>
      </c>
      <c r="D57" s="10" t="str">
        <f>[1]world_population_Raw_Data!F50</f>
        <v>Asia</v>
      </c>
      <c r="E57" s="11">
        <f>[1]world_population_Raw_Data!N50</f>
        <v>12501285</v>
      </c>
      <c r="F57" s="11">
        <f>[1]world_population_Raw_Data!M50</f>
        <v>15600442</v>
      </c>
      <c r="G57" s="18">
        <f t="shared" si="2"/>
        <v>0.24790707515267429</v>
      </c>
      <c r="H57" s="39">
        <f t="shared" si="3"/>
        <v>1.022393841260014</v>
      </c>
      <c r="I57" s="11">
        <f>[1]world_population_Raw_Data!L50</f>
        <v>19616530</v>
      </c>
      <c r="J57" s="18">
        <f t="shared" si="4"/>
        <v>0.25743424449127789</v>
      </c>
      <c r="K57" s="39">
        <f t="shared" si="5"/>
        <v>1.0231717209985283</v>
      </c>
      <c r="L57" s="11">
        <f>[1]world_population_Raw_Data!K50</f>
        <v>24559500</v>
      </c>
      <c r="M57" s="18">
        <f t="shared" si="6"/>
        <v>0.25197983537353447</v>
      </c>
      <c r="N57" s="39">
        <f t="shared" si="7"/>
        <v>2.2727028100750113E-2</v>
      </c>
      <c r="O57" s="11">
        <f>[1]world_population_Raw_Data!J50</f>
        <v>27161567</v>
      </c>
      <c r="P57" s="18">
        <f t="shared" si="8"/>
        <v>0.10594951037276817</v>
      </c>
      <c r="Q57" s="39">
        <f t="shared" si="9"/>
        <v>1.0121302513483199E-2</v>
      </c>
      <c r="R57" s="11">
        <f>[1]world_population_Raw_Data!I50</f>
        <v>27610325</v>
      </c>
      <c r="S57" s="18">
        <f t="shared" si="10"/>
        <v>1.6521800822463593E-2</v>
      </c>
      <c r="T57" s="39">
        <f t="shared" si="11"/>
        <v>3.2827365775132122E-3</v>
      </c>
      <c r="U57" s="11">
        <f>[1]world_population_Raw_Data!H50</f>
        <v>29348627</v>
      </c>
      <c r="V57" s="18">
        <f t="shared" si="12"/>
        <v>6.2958404147723718E-2</v>
      </c>
      <c r="W57" s="39">
        <f t="shared" si="13"/>
        <v>1.2286054622571152E-2</v>
      </c>
      <c r="X57" s="11">
        <f>[1]world_population_Raw_Data!G50</f>
        <v>30547580</v>
      </c>
      <c r="Y57" s="18">
        <f t="shared" si="0"/>
        <v>4.0852098464435833E-2</v>
      </c>
      <c r="Z57" s="39">
        <f t="shared" si="14"/>
        <v>2.022159282404723E-2</v>
      </c>
      <c r="AA57" s="19">
        <f t="shared" si="1"/>
        <v>3.8311820008120347E-3</v>
      </c>
      <c r="AB57" s="45">
        <f t="shared" si="15"/>
        <v>1.7330264548820251E-2</v>
      </c>
      <c r="AC57" s="81">
        <f t="shared" si="18"/>
        <v>35048749.459509827</v>
      </c>
      <c r="AD57" s="81"/>
    </row>
    <row r="58" spans="2:30">
      <c r="B58" s="8">
        <f>[1]world_population_Raw_Data!B51</f>
        <v>50</v>
      </c>
      <c r="C58" s="9" t="str">
        <f>[1]world_population_Raw_Data!D51</f>
        <v>Madagascar</v>
      </c>
      <c r="D58" s="10" t="str">
        <f>[1]world_population_Raw_Data!F51</f>
        <v>Africa</v>
      </c>
      <c r="E58" s="11">
        <f>[1]world_population_Raw_Data!N51</f>
        <v>6639751</v>
      </c>
      <c r="F58" s="11">
        <f>[1]world_population_Raw_Data!M51</f>
        <v>8948162</v>
      </c>
      <c r="G58" s="18">
        <f t="shared" si="2"/>
        <v>0.34766529648476274</v>
      </c>
      <c r="H58" s="39">
        <f t="shared" si="3"/>
        <v>1.0302869632426634</v>
      </c>
      <c r="I58" s="11">
        <f>[1]world_population_Raw_Data!L51</f>
        <v>11882762</v>
      </c>
      <c r="J58" s="18">
        <f t="shared" si="4"/>
        <v>0.32795561814817387</v>
      </c>
      <c r="K58" s="39">
        <f t="shared" si="5"/>
        <v>1.0287701534443872</v>
      </c>
      <c r="L58" s="11">
        <f>[1]world_population_Raw_Data!K51</f>
        <v>16216431</v>
      </c>
      <c r="M58" s="18">
        <f t="shared" si="6"/>
        <v>0.36470216267901351</v>
      </c>
      <c r="N58" s="39">
        <f t="shared" si="7"/>
        <v>3.1582077007179965E-2</v>
      </c>
      <c r="O58" s="11">
        <f>[1]world_population_Raw_Data!J51</f>
        <v>21731053</v>
      </c>
      <c r="P58" s="18">
        <f t="shared" si="8"/>
        <v>0.34006385252094001</v>
      </c>
      <c r="Q58" s="39">
        <f t="shared" si="9"/>
        <v>2.9704354317751536E-2</v>
      </c>
      <c r="R58" s="11">
        <f>[1]world_population_Raw_Data!I51</f>
        <v>24850912</v>
      </c>
      <c r="S58" s="18">
        <f t="shared" si="10"/>
        <v>0.14356685798888807</v>
      </c>
      <c r="T58" s="39">
        <f t="shared" si="11"/>
        <v>2.7193617174853024E-2</v>
      </c>
      <c r="U58" s="11">
        <f>[1]world_population_Raw_Data!H51</f>
        <v>28225177</v>
      </c>
      <c r="V58" s="18">
        <f t="shared" si="12"/>
        <v>0.13578032870584386</v>
      </c>
      <c r="W58" s="39">
        <f t="shared" si="13"/>
        <v>2.5790962560616304E-2</v>
      </c>
      <c r="X58" s="11">
        <f>[1]world_population_Raw_Data!G51</f>
        <v>29611714</v>
      </c>
      <c r="Y58" s="18">
        <f t="shared" si="0"/>
        <v>4.9124120638818318E-2</v>
      </c>
      <c r="Z58" s="39">
        <f t="shared" si="14"/>
        <v>2.4267602064430349E-2</v>
      </c>
      <c r="AA58" s="19">
        <f t="shared" si="1"/>
        <v>3.7138086123350441E-3</v>
      </c>
      <c r="AB58" s="45">
        <f t="shared" si="15"/>
        <v>2.9169161857181658E-2</v>
      </c>
      <c r="AC58" s="81">
        <f t="shared" si="18"/>
        <v>37269851.47463768</v>
      </c>
      <c r="AD58" s="81"/>
    </row>
    <row r="59" spans="2:30">
      <c r="B59" s="8">
        <f>[1]world_population_Raw_Data!B52</f>
        <v>51</v>
      </c>
      <c r="C59" s="9" t="str">
        <f>[1]world_population_Raw_Data!D52</f>
        <v>Venezuela</v>
      </c>
      <c r="D59" s="10" t="str">
        <f>[1]world_population_Raw_Data!F52</f>
        <v>South America</v>
      </c>
      <c r="E59" s="11">
        <f>[1]world_population_Raw_Data!N52</f>
        <v>11355475</v>
      </c>
      <c r="F59" s="11">
        <f>[1]world_population_Raw_Data!M52</f>
        <v>15210443</v>
      </c>
      <c r="G59" s="18">
        <f t="shared" si="2"/>
        <v>0.33948099925366398</v>
      </c>
      <c r="H59" s="39">
        <f t="shared" si="3"/>
        <v>1.0296595591353379</v>
      </c>
      <c r="I59" s="11">
        <f>[1]world_population_Raw_Data!L52</f>
        <v>19750579</v>
      </c>
      <c r="J59" s="18">
        <f t="shared" si="4"/>
        <v>0.29848808479805616</v>
      </c>
      <c r="K59" s="39">
        <f t="shared" si="5"/>
        <v>1.0264641758964907</v>
      </c>
      <c r="L59" s="11">
        <f>[1]world_population_Raw_Data!K52</f>
        <v>24427729</v>
      </c>
      <c r="M59" s="18">
        <f t="shared" si="6"/>
        <v>0.23681077906627446</v>
      </c>
      <c r="N59" s="39">
        <f t="shared" si="7"/>
        <v>2.1481078046553304E-2</v>
      </c>
      <c r="O59" s="11">
        <f>[1]world_population_Raw_Data!J52</f>
        <v>28715022</v>
      </c>
      <c r="P59" s="18">
        <f t="shared" si="8"/>
        <v>0.1755092747262752</v>
      </c>
      <c r="Q59" s="39">
        <f t="shared" si="9"/>
        <v>1.6301592276835919E-2</v>
      </c>
      <c r="R59" s="11">
        <f>[1]world_population_Raw_Data!I52</f>
        <v>30529716</v>
      </c>
      <c r="S59" s="18">
        <f t="shared" si="10"/>
        <v>6.3196678031449877E-2</v>
      </c>
      <c r="T59" s="39">
        <f t="shared" si="11"/>
        <v>1.2331433577093875E-2</v>
      </c>
      <c r="U59" s="11">
        <f>[1]world_population_Raw_Data!H52</f>
        <v>28490453</v>
      </c>
      <c r="V59" s="18">
        <f t="shared" si="12"/>
        <v>-6.6796002950043815E-2</v>
      </c>
      <c r="W59" s="39">
        <f t="shared" si="13"/>
        <v>-1.373114697416622E-2</v>
      </c>
      <c r="X59" s="11">
        <f>[1]world_population_Raw_Data!G52</f>
        <v>28301696</v>
      </c>
      <c r="Y59" s="18">
        <f t="shared" si="0"/>
        <v>-6.6252719814598945E-3</v>
      </c>
      <c r="Z59" s="39">
        <f t="shared" si="14"/>
        <v>-3.3181410206464257E-3</v>
      </c>
      <c r="AA59" s="19">
        <f t="shared" si="1"/>
        <v>3.5495102495076195E-3</v>
      </c>
      <c r="AB59" s="45">
        <f t="shared" si="15"/>
        <v>1.7717074144827816E-2</v>
      </c>
      <c r="AC59" s="81">
        <f t="shared" si="18"/>
        <v>32570839.111810375</v>
      </c>
      <c r="AD59" s="81"/>
    </row>
    <row r="60" spans="2:30">
      <c r="B60" s="8">
        <f>[1]world_population_Raw_Data!B53</f>
        <v>52</v>
      </c>
      <c r="C60" s="9" t="str">
        <f>[1]world_population_Raw_Data!D53</f>
        <v>Ivory Coast</v>
      </c>
      <c r="D60" s="10" t="str">
        <f>[1]world_population_Raw_Data!F53</f>
        <v>Africa</v>
      </c>
      <c r="E60" s="11">
        <f>[1]world_population_Raw_Data!N53</f>
        <v>5477086</v>
      </c>
      <c r="F60" s="11">
        <f>[1]world_population_Raw_Data!M53</f>
        <v>8303809</v>
      </c>
      <c r="G60" s="18">
        <f t="shared" si="2"/>
        <v>0.51609980197499183</v>
      </c>
      <c r="H60" s="39">
        <f t="shared" si="3"/>
        <v>1.0424921156630353</v>
      </c>
      <c r="I60" s="11">
        <f>[1]world_population_Raw_Data!L53</f>
        <v>11910540</v>
      </c>
      <c r="J60" s="18">
        <f t="shared" si="4"/>
        <v>0.43434657516809455</v>
      </c>
      <c r="K60" s="39">
        <f t="shared" si="5"/>
        <v>1.0367293891743208</v>
      </c>
      <c r="L60" s="11">
        <f>[1]world_population_Raw_Data!K53</f>
        <v>16799670</v>
      </c>
      <c r="M60" s="18">
        <f t="shared" si="6"/>
        <v>0.41048768569687016</v>
      </c>
      <c r="N60" s="39">
        <f t="shared" si="7"/>
        <v>3.4991849799982599E-2</v>
      </c>
      <c r="O60" s="11">
        <f>[1]world_population_Raw_Data!J53</f>
        <v>21120042</v>
      </c>
      <c r="P60" s="18">
        <f t="shared" si="8"/>
        <v>0.25717005155458411</v>
      </c>
      <c r="Q60" s="39">
        <f t="shared" si="9"/>
        <v>2.3150221639513191E-2</v>
      </c>
      <c r="R60" s="11">
        <f>[1]world_population_Raw_Data!I53</f>
        <v>23596741</v>
      </c>
      <c r="S60" s="18">
        <f t="shared" si="10"/>
        <v>0.11726771187292147</v>
      </c>
      <c r="T60" s="39">
        <f t="shared" si="11"/>
        <v>2.2424975205431741E-2</v>
      </c>
      <c r="U60" s="11">
        <f>[1]world_population_Raw_Data!H53</f>
        <v>26811790</v>
      </c>
      <c r="V60" s="18">
        <f t="shared" si="12"/>
        <v>0.13624970499104092</v>
      </c>
      <c r="W60" s="39">
        <f t="shared" si="13"/>
        <v>2.5875732892948644E-2</v>
      </c>
      <c r="X60" s="11">
        <f>[1]world_population_Raw_Data!G53</f>
        <v>28160542</v>
      </c>
      <c r="Y60" s="18">
        <f t="shared" si="0"/>
        <v>5.0304436965976536E-2</v>
      </c>
      <c r="Z60" s="39">
        <f t="shared" si="14"/>
        <v>2.4843615858525236E-2</v>
      </c>
      <c r="AA60" s="19">
        <f t="shared" si="1"/>
        <v>3.5318071560336809E-3</v>
      </c>
      <c r="AB60" s="45">
        <f t="shared" si="15"/>
        <v>3.1988447290481892E-2</v>
      </c>
      <c r="AC60" s="81">
        <f t="shared" si="18"/>
        <v>36227610.835007899</v>
      </c>
      <c r="AD60" s="81"/>
    </row>
    <row r="61" spans="2:30">
      <c r="B61" s="8">
        <f>[1]world_population_Raw_Data!B54</f>
        <v>53</v>
      </c>
      <c r="C61" s="9" t="str">
        <f>[1]world_population_Raw_Data!D54</f>
        <v>Cameroon</v>
      </c>
      <c r="D61" s="10" t="str">
        <f>[1]world_population_Raw_Data!F54</f>
        <v>Africa</v>
      </c>
      <c r="E61" s="11">
        <f>[1]world_population_Raw_Data!N54</f>
        <v>6452787</v>
      </c>
      <c r="F61" s="11">
        <f>[1]world_population_Raw_Data!M54</f>
        <v>8519891</v>
      </c>
      <c r="G61" s="18">
        <f t="shared" si="2"/>
        <v>0.32034282241146345</v>
      </c>
      <c r="H61" s="39">
        <f t="shared" si="3"/>
        <v>1.0281788614981027</v>
      </c>
      <c r="I61" s="11">
        <f>[1]world_population_Raw_Data!L54</f>
        <v>11430520</v>
      </c>
      <c r="J61" s="18">
        <f t="shared" si="4"/>
        <v>0.34162749265219472</v>
      </c>
      <c r="K61" s="39">
        <f t="shared" si="5"/>
        <v>1.0298244413010431</v>
      </c>
      <c r="L61" s="11">
        <f>[1]world_population_Raw_Data!K54</f>
        <v>15091594</v>
      </c>
      <c r="M61" s="18">
        <f t="shared" si="6"/>
        <v>0.32028936566315441</v>
      </c>
      <c r="N61" s="39">
        <f t="shared" si="7"/>
        <v>2.81746986322855E-2</v>
      </c>
      <c r="O61" s="11">
        <f>[1]world_population_Raw_Data!J54</f>
        <v>19878036</v>
      </c>
      <c r="P61" s="18">
        <f t="shared" si="8"/>
        <v>0.31715947301524278</v>
      </c>
      <c r="Q61" s="39">
        <f t="shared" si="9"/>
        <v>2.793069798815595E-2</v>
      </c>
      <c r="R61" s="11">
        <f>[1]world_population_Raw_Data!I54</f>
        <v>23012646</v>
      </c>
      <c r="S61" s="18">
        <f t="shared" si="10"/>
        <v>0.15769213819715389</v>
      </c>
      <c r="T61" s="39">
        <f t="shared" si="11"/>
        <v>2.9718740488681394E-2</v>
      </c>
      <c r="U61" s="11">
        <f>[1]world_population_Raw_Data!H54</f>
        <v>26491087</v>
      </c>
      <c r="V61" s="18">
        <f t="shared" si="12"/>
        <v>0.15115345710354211</v>
      </c>
      <c r="W61" s="39">
        <f t="shared" si="13"/>
        <v>2.8552927009753315E-2</v>
      </c>
      <c r="X61" s="11">
        <f>[1]world_population_Raw_Data!G54</f>
        <v>27914536</v>
      </c>
      <c r="Y61" s="18">
        <f t="shared" si="0"/>
        <v>5.3733129184166735E-2</v>
      </c>
      <c r="Z61" s="39">
        <f t="shared" si="14"/>
        <v>2.6515040895245034E-2</v>
      </c>
      <c r="AA61" s="19">
        <f t="shared" si="1"/>
        <v>3.5009538524563835E-3</v>
      </c>
      <c r="AB61" s="45">
        <f t="shared" si="15"/>
        <v>2.8566480046326337E-2</v>
      </c>
      <c r="AC61" s="81">
        <f t="shared" si="18"/>
        <v>34969494.084746525</v>
      </c>
      <c r="AD61" s="81"/>
    </row>
    <row r="62" spans="2:30">
      <c r="B62" s="8">
        <f>[1]world_population_Raw_Data!B55</f>
        <v>54</v>
      </c>
      <c r="C62" s="9" t="str">
        <f>[1]world_population_Raw_Data!D55</f>
        <v>Niger</v>
      </c>
      <c r="D62" s="10" t="str">
        <f>[1]world_population_Raw_Data!F55</f>
        <v>Africa</v>
      </c>
      <c r="E62" s="11">
        <f>[1]world_population_Raw_Data!N55</f>
        <v>4669708</v>
      </c>
      <c r="F62" s="11">
        <f>[1]world_population_Raw_Data!M55</f>
        <v>6173177</v>
      </c>
      <c r="G62" s="18">
        <f t="shared" si="2"/>
        <v>0.32196210127057195</v>
      </c>
      <c r="H62" s="39">
        <f t="shared" si="3"/>
        <v>1.0283048886285651</v>
      </c>
      <c r="I62" s="11">
        <f>[1]world_population_Raw_Data!L55</f>
        <v>8370647</v>
      </c>
      <c r="J62" s="18">
        <f t="shared" si="4"/>
        <v>0.35597067765916968</v>
      </c>
      <c r="K62" s="39">
        <f t="shared" si="5"/>
        <v>1.0309201536669836</v>
      </c>
      <c r="L62" s="11">
        <f>[1]world_population_Raw_Data!K55</f>
        <v>11622665</v>
      </c>
      <c r="M62" s="18">
        <f t="shared" si="6"/>
        <v>0.38850258528402881</v>
      </c>
      <c r="N62" s="39">
        <f t="shared" si="7"/>
        <v>3.3367192238797694E-2</v>
      </c>
      <c r="O62" s="11">
        <f>[1]world_population_Raw_Data!J55</f>
        <v>16647543</v>
      </c>
      <c r="P62" s="18">
        <f t="shared" si="8"/>
        <v>0.43233440867477468</v>
      </c>
      <c r="Q62" s="39">
        <f t="shared" si="9"/>
        <v>3.6583860175722904E-2</v>
      </c>
      <c r="R62" s="11">
        <f>[1]world_population_Raw_Data!I55</f>
        <v>20128124</v>
      </c>
      <c r="S62" s="18">
        <f t="shared" si="10"/>
        <v>0.20907475655716884</v>
      </c>
      <c r="T62" s="39">
        <f t="shared" si="11"/>
        <v>3.8701193849960402E-2</v>
      </c>
      <c r="U62" s="11">
        <f>[1]world_population_Raw_Data!H55</f>
        <v>24333639</v>
      </c>
      <c r="V62" s="18">
        <f t="shared" si="12"/>
        <v>0.20893725614965408</v>
      </c>
      <c r="W62" s="39">
        <f t="shared" si="13"/>
        <v>3.8677567794747736E-2</v>
      </c>
      <c r="X62" s="11">
        <f>[1]world_population_Raw_Data!G55</f>
        <v>26207977</v>
      </c>
      <c r="Y62" s="18">
        <f t="shared" si="0"/>
        <v>7.7026621460111244E-2</v>
      </c>
      <c r="Z62" s="39">
        <f t="shared" si="14"/>
        <v>3.7798931132669411E-2</v>
      </c>
      <c r="AA62" s="19">
        <f t="shared" si="1"/>
        <v>3.2869225568799816E-3</v>
      </c>
      <c r="AB62" s="45">
        <f t="shared" si="15"/>
        <v>3.372878815700231E-2</v>
      </c>
      <c r="AC62" s="81">
        <f t="shared" si="18"/>
        <v>34173258.148021743</v>
      </c>
      <c r="AD62" s="81"/>
    </row>
    <row r="63" spans="2:30">
      <c r="B63" s="8">
        <f>[1]world_population_Raw_Data!B56</f>
        <v>55</v>
      </c>
      <c r="C63" s="9" t="str">
        <f>[1]world_population_Raw_Data!D56</f>
        <v>Australia</v>
      </c>
      <c r="D63" s="10" t="str">
        <f>[1]world_population_Raw_Data!F56</f>
        <v>Oceania</v>
      </c>
      <c r="E63" s="11">
        <f>[1]world_population_Raw_Data!N56</f>
        <v>12595034</v>
      </c>
      <c r="F63" s="11">
        <f>[1]world_population_Raw_Data!M56</f>
        <v>14706322</v>
      </c>
      <c r="G63" s="18">
        <f t="shared" si="2"/>
        <v>0.16762860663972801</v>
      </c>
      <c r="H63" s="39">
        <f t="shared" si="3"/>
        <v>1.0156181947985059</v>
      </c>
      <c r="I63" s="11">
        <f>[1]world_population_Raw_Data!L56</f>
        <v>17048003</v>
      </c>
      <c r="J63" s="18">
        <f t="shared" si="4"/>
        <v>0.15922954767344275</v>
      </c>
      <c r="K63" s="39">
        <f t="shared" si="5"/>
        <v>1.0148852583480752</v>
      </c>
      <c r="L63" s="11">
        <f>[1]world_population_Raw_Data!K56</f>
        <v>19017963</v>
      </c>
      <c r="M63" s="18">
        <f t="shared" si="6"/>
        <v>0.11555371030847425</v>
      </c>
      <c r="N63" s="39">
        <f t="shared" si="7"/>
        <v>1.0995094886249834E-2</v>
      </c>
      <c r="O63" s="11">
        <f>[1]world_population_Raw_Data!J56</f>
        <v>22019168</v>
      </c>
      <c r="P63" s="18">
        <f t="shared" si="8"/>
        <v>0.15780896197978722</v>
      </c>
      <c r="Q63" s="39">
        <f t="shared" si="9"/>
        <v>1.4760819909628742E-2</v>
      </c>
      <c r="R63" s="11">
        <f>[1]world_population_Raw_Data!I56</f>
        <v>23820236</v>
      </c>
      <c r="S63" s="18">
        <f t="shared" si="10"/>
        <v>8.1795461118240251E-2</v>
      </c>
      <c r="T63" s="39">
        <f t="shared" si="11"/>
        <v>1.5848704276729908E-2</v>
      </c>
      <c r="U63" s="11">
        <f>[1]world_population_Raw_Data!H56</f>
        <v>25670051</v>
      </c>
      <c r="V63" s="18">
        <f t="shared" si="12"/>
        <v>7.7657291052867825E-2</v>
      </c>
      <c r="W63" s="39">
        <f t="shared" si="13"/>
        <v>1.5070331309244622E-2</v>
      </c>
      <c r="X63" s="11">
        <f>[1]world_population_Raw_Data!G56</f>
        <v>26177413</v>
      </c>
      <c r="Y63" s="18">
        <f t="shared" si="0"/>
        <v>1.976474452660807E-2</v>
      </c>
      <c r="Z63" s="39">
        <f t="shared" si="14"/>
        <v>9.8340183052896268E-3</v>
      </c>
      <c r="AA63" s="19">
        <f t="shared" si="1"/>
        <v>3.283089315534094E-3</v>
      </c>
      <c r="AB63" s="45">
        <f t="shared" si="15"/>
        <v>1.4168557610062305E-2</v>
      </c>
      <c r="AC63" s="81">
        <f t="shared" si="18"/>
        <v>29295968.526985016</v>
      </c>
      <c r="AD63" s="81"/>
    </row>
    <row r="64" spans="2:30">
      <c r="B64" s="8">
        <f>[1]world_population_Raw_Data!B57</f>
        <v>56</v>
      </c>
      <c r="C64" s="9" t="str">
        <f>[1]world_population_Raw_Data!D57</f>
        <v>North Korea</v>
      </c>
      <c r="D64" s="10" t="str">
        <f>[1]world_population_Raw_Data!F57</f>
        <v>Asia</v>
      </c>
      <c r="E64" s="11">
        <f>[1]world_population_Raw_Data!N57</f>
        <v>14996879</v>
      </c>
      <c r="F64" s="11">
        <f>[1]world_population_Raw_Data!M57</f>
        <v>17973650</v>
      </c>
      <c r="G64" s="18">
        <f t="shared" si="2"/>
        <v>0.19849269971438724</v>
      </c>
      <c r="H64" s="39">
        <f t="shared" si="3"/>
        <v>1.0182713843120108</v>
      </c>
      <c r="I64" s="11">
        <f>[1]world_population_Raw_Data!L57</f>
        <v>20799523</v>
      </c>
      <c r="J64" s="18">
        <f t="shared" si="4"/>
        <v>0.15722310159594741</v>
      </c>
      <c r="K64" s="39">
        <f t="shared" si="5"/>
        <v>1.0147094605232374</v>
      </c>
      <c r="L64" s="11">
        <f>[1]world_population_Raw_Data!K57</f>
        <v>23367059</v>
      </c>
      <c r="M64" s="18">
        <f t="shared" si="6"/>
        <v>0.12344206162804791</v>
      </c>
      <c r="N64" s="39">
        <f t="shared" si="7"/>
        <v>1.1707729365116659E-2</v>
      </c>
      <c r="O64" s="11">
        <f>[1]world_population_Raw_Data!J57</f>
        <v>24686435</v>
      </c>
      <c r="P64" s="18">
        <f t="shared" si="8"/>
        <v>5.6463074792595852E-2</v>
      </c>
      <c r="Q64" s="39">
        <f t="shared" si="9"/>
        <v>5.5077730129602376E-3</v>
      </c>
      <c r="R64" s="11">
        <f>[1]world_population_Raw_Data!I57</f>
        <v>25258015</v>
      </c>
      <c r="S64" s="18">
        <f t="shared" si="10"/>
        <v>2.315360642393282E-2</v>
      </c>
      <c r="T64" s="39">
        <f t="shared" si="11"/>
        <v>4.588420431458351E-3</v>
      </c>
      <c r="U64" s="11">
        <f>[1]world_population_Raw_Data!H57</f>
        <v>25867467</v>
      </c>
      <c r="V64" s="18">
        <f t="shared" si="12"/>
        <v>2.412905368850244E-2</v>
      </c>
      <c r="W64" s="39">
        <f t="shared" si="13"/>
        <v>4.7798969685572956E-3</v>
      </c>
      <c r="X64" s="11">
        <f>[1]world_population_Raw_Data!G57</f>
        <v>26069416</v>
      </c>
      <c r="Y64" s="18">
        <f t="shared" si="0"/>
        <v>7.8070651448013829E-3</v>
      </c>
      <c r="Z64" s="39">
        <f t="shared" si="14"/>
        <v>3.8959433849712344E-3</v>
      </c>
      <c r="AA64" s="19">
        <f t="shared" si="1"/>
        <v>3.2695446693610845E-3</v>
      </c>
      <c r="AB64" s="45">
        <f t="shared" si="15"/>
        <v>1.0689822857335329E-2</v>
      </c>
      <c r="AC64" s="81">
        <f t="shared" si="18"/>
        <v>28384055.221734833</v>
      </c>
      <c r="AD64" s="81"/>
    </row>
    <row r="65" spans="2:30">
      <c r="B65" s="8">
        <f>[1]world_population_Raw_Data!B58</f>
        <v>57</v>
      </c>
      <c r="C65" s="9" t="str">
        <f>[1]world_population_Raw_Data!D58</f>
        <v>Taiwan</v>
      </c>
      <c r="D65" s="10" t="str">
        <f>[1]world_population_Raw_Data!F58</f>
        <v>Asia</v>
      </c>
      <c r="E65" s="11">
        <f>[1]world_population_Raw_Data!N58</f>
        <v>14957870</v>
      </c>
      <c r="F65" s="11">
        <f>[1]world_population_Raw_Data!M58</f>
        <v>18100281</v>
      </c>
      <c r="G65" s="18">
        <f t="shared" si="2"/>
        <v>0.21008412293996404</v>
      </c>
      <c r="H65" s="39">
        <f t="shared" si="3"/>
        <v>1.0192519623751926</v>
      </c>
      <c r="I65" s="11">
        <f>[1]world_population_Raw_Data!L58</f>
        <v>20586174</v>
      </c>
      <c r="J65" s="18">
        <f t="shared" si="4"/>
        <v>0.13734002251125271</v>
      </c>
      <c r="K65" s="39">
        <f t="shared" si="5"/>
        <v>1.0129523870532711</v>
      </c>
      <c r="L65" s="11">
        <f>[1]world_population_Raw_Data!K58</f>
        <v>22194731</v>
      </c>
      <c r="M65" s="18">
        <f t="shared" si="6"/>
        <v>7.8137734578557438E-2</v>
      </c>
      <c r="N65" s="39">
        <f t="shared" si="7"/>
        <v>7.5518961063385515E-3</v>
      </c>
      <c r="O65" s="11">
        <f>[1]world_population_Raw_Data!J58</f>
        <v>23083083</v>
      </c>
      <c r="P65" s="18">
        <f t="shared" si="8"/>
        <v>4.0025355567499331E-2</v>
      </c>
      <c r="Q65" s="39">
        <f t="shared" si="9"/>
        <v>3.932220291609001E-3</v>
      </c>
      <c r="R65" s="11">
        <f>[1]world_population_Raw_Data!I58</f>
        <v>23512136</v>
      </c>
      <c r="S65" s="18">
        <f t="shared" si="10"/>
        <v>1.8587335149295264E-2</v>
      </c>
      <c r="T65" s="39">
        <f t="shared" si="11"/>
        <v>3.690132195439455E-3</v>
      </c>
      <c r="U65" s="11">
        <f>[1]world_population_Raw_Data!H58</f>
        <v>23821464</v>
      </c>
      <c r="V65" s="18">
        <f t="shared" si="12"/>
        <v>1.3156099471353858E-2</v>
      </c>
      <c r="W65" s="39">
        <f t="shared" si="13"/>
        <v>2.617481562021684E-3</v>
      </c>
      <c r="X65" s="11">
        <f>[1]world_population_Raw_Data!G58</f>
        <v>23893394</v>
      </c>
      <c r="Y65" s="18">
        <f t="shared" si="0"/>
        <v>3.0195457340489234E-3</v>
      </c>
      <c r="Z65" s="39">
        <f t="shared" si="14"/>
        <v>1.5086348774278058E-3</v>
      </c>
      <c r="AA65" s="19">
        <f t="shared" si="1"/>
        <v>2.9966347917285189E-3</v>
      </c>
      <c r="AB65" s="45">
        <f t="shared" si="15"/>
        <v>9.0476935497756372E-3</v>
      </c>
      <c r="AC65" s="81">
        <f t="shared" si="18"/>
        <v>25678603.235079456</v>
      </c>
      <c r="AD65" s="81"/>
    </row>
    <row r="66" spans="2:30">
      <c r="B66" s="8">
        <f>[1]world_population_Raw_Data!B59</f>
        <v>58</v>
      </c>
      <c r="C66" s="9" t="str">
        <f>[1]world_population_Raw_Data!D59</f>
        <v>Burkina Faso</v>
      </c>
      <c r="D66" s="10" t="str">
        <f>[1]world_population_Raw_Data!F59</f>
        <v>Africa</v>
      </c>
      <c r="E66" s="11">
        <f>[1]world_population_Raw_Data!N59</f>
        <v>5611666</v>
      </c>
      <c r="F66" s="11">
        <f>[1]world_population_Raw_Data!M59</f>
        <v>6932967</v>
      </c>
      <c r="G66" s="18">
        <f t="shared" si="2"/>
        <v>0.23545610162828651</v>
      </c>
      <c r="H66" s="39">
        <f t="shared" si="3"/>
        <v>1.0213691401568536</v>
      </c>
      <c r="I66" s="11">
        <f>[1]world_population_Raw_Data!L59</f>
        <v>9131361</v>
      </c>
      <c r="J66" s="18">
        <f t="shared" si="4"/>
        <v>0.31709281177885312</v>
      </c>
      <c r="K66" s="39">
        <f t="shared" si="5"/>
        <v>1.0279254955283719</v>
      </c>
      <c r="L66" s="11">
        <f>[1]world_population_Raw_Data!K59</f>
        <v>11882888</v>
      </c>
      <c r="M66" s="18">
        <f t="shared" si="6"/>
        <v>0.30132715156043005</v>
      </c>
      <c r="N66" s="39">
        <f t="shared" si="7"/>
        <v>2.6688385656014502E-2</v>
      </c>
      <c r="O66" s="11">
        <f>[1]world_population_Raw_Data!J59</f>
        <v>16116845</v>
      </c>
      <c r="P66" s="18">
        <f t="shared" si="8"/>
        <v>0.35630706945988216</v>
      </c>
      <c r="Q66" s="39">
        <f t="shared" si="9"/>
        <v>3.0945726076755165E-2</v>
      </c>
      <c r="R66" s="11">
        <f>[1]world_population_Raw_Data!I59</f>
        <v>18718019</v>
      </c>
      <c r="S66" s="18">
        <f t="shared" si="10"/>
        <v>0.1613947394790978</v>
      </c>
      <c r="T66" s="39">
        <f t="shared" si="11"/>
        <v>3.037656127155719E-2</v>
      </c>
      <c r="U66" s="11">
        <f>[1]world_population_Raw_Data!H59</f>
        <v>21522626</v>
      </c>
      <c r="V66" s="18">
        <f t="shared" si="12"/>
        <v>0.14983460589499348</v>
      </c>
      <c r="W66" s="39">
        <f t="shared" si="13"/>
        <v>2.8317140835665278E-2</v>
      </c>
      <c r="X66" s="11">
        <f>[1]world_population_Raw_Data!G59</f>
        <v>22673762</v>
      </c>
      <c r="Y66" s="18">
        <f t="shared" si="0"/>
        <v>5.3484923261687488E-2</v>
      </c>
      <c r="Z66" s="39">
        <f t="shared" si="14"/>
        <v>2.639413641236632E-2</v>
      </c>
      <c r="AA66" s="19">
        <f t="shared" si="1"/>
        <v>2.8436723585009314E-3</v>
      </c>
      <c r="AB66" s="45">
        <f t="shared" si="15"/>
        <v>2.7216884663830987E-2</v>
      </c>
      <c r="AC66" s="81">
        <f t="shared" si="18"/>
        <v>28107406.777115144</v>
      </c>
      <c r="AD66" s="81"/>
    </row>
    <row r="67" spans="2:30">
      <c r="B67" s="8">
        <f>[1]world_population_Raw_Data!B60</f>
        <v>59</v>
      </c>
      <c r="C67" s="9" t="str">
        <f>[1]world_population_Raw_Data!D60</f>
        <v>Mali</v>
      </c>
      <c r="D67" s="10" t="str">
        <f>[1]world_population_Raw_Data!F60</f>
        <v>Africa</v>
      </c>
      <c r="E67" s="11">
        <f>[1]world_population_Raw_Data!N60</f>
        <v>6153587</v>
      </c>
      <c r="F67" s="11">
        <f>[1]world_population_Raw_Data!M60</f>
        <v>7372581</v>
      </c>
      <c r="G67" s="18">
        <f t="shared" si="2"/>
        <v>0.19809486727009792</v>
      </c>
      <c r="H67" s="39">
        <f t="shared" si="3"/>
        <v>1.0182375783557016</v>
      </c>
      <c r="I67" s="11">
        <f>[1]world_population_Raw_Data!L60</f>
        <v>8945026</v>
      </c>
      <c r="J67" s="18">
        <f t="shared" si="4"/>
        <v>0.21328283812683779</v>
      </c>
      <c r="K67" s="39">
        <f t="shared" si="5"/>
        <v>1.0195210697004364</v>
      </c>
      <c r="L67" s="11">
        <f>[1]world_population_Raw_Data!K60</f>
        <v>11239101</v>
      </c>
      <c r="M67" s="18">
        <f t="shared" si="6"/>
        <v>0.25646375985939002</v>
      </c>
      <c r="N67" s="39">
        <f t="shared" si="7"/>
        <v>2.3092725419063376E-2</v>
      </c>
      <c r="O67" s="11">
        <f>[1]world_population_Raw_Data!J60</f>
        <v>15529181</v>
      </c>
      <c r="P67" s="18">
        <f t="shared" si="8"/>
        <v>0.38171024533012027</v>
      </c>
      <c r="Q67" s="39">
        <f t="shared" si="9"/>
        <v>3.2860568738131146E-2</v>
      </c>
      <c r="R67" s="11">
        <f>[1]world_population_Raw_Data!I60</f>
        <v>18112907</v>
      </c>
      <c r="S67" s="18">
        <f t="shared" si="10"/>
        <v>0.16637876781782632</v>
      </c>
      <c r="T67" s="39">
        <f t="shared" si="11"/>
        <v>3.1259402072610465E-2</v>
      </c>
      <c r="U67" s="11">
        <f>[1]world_population_Raw_Data!H60</f>
        <v>21224040</v>
      </c>
      <c r="V67" s="18">
        <f t="shared" si="12"/>
        <v>0.17176331772696674</v>
      </c>
      <c r="W67" s="39">
        <f t="shared" si="13"/>
        <v>3.2209803833918249E-2</v>
      </c>
      <c r="X67" s="11">
        <f>[1]world_population_Raw_Data!G60</f>
        <v>22593590</v>
      </c>
      <c r="Y67" s="18">
        <f t="shared" si="0"/>
        <v>6.4528242502369951E-2</v>
      </c>
      <c r="Z67" s="39">
        <f t="shared" si="14"/>
        <v>3.1759779455649229E-2</v>
      </c>
      <c r="AA67" s="19">
        <f t="shared" si="1"/>
        <v>2.833617436855122E-3</v>
      </c>
      <c r="AB67" s="45">
        <f t="shared" si="15"/>
        <v>2.5327563861779145E-2</v>
      </c>
      <c r="AC67" s="81">
        <f t="shared" si="18"/>
        <v>27598552.509020422</v>
      </c>
      <c r="AD67" s="81"/>
    </row>
    <row r="68" spans="2:30">
      <c r="B68" s="8">
        <f>[1]world_population_Raw_Data!B61</f>
        <v>60</v>
      </c>
      <c r="C68" s="9" t="str">
        <f>[1]world_population_Raw_Data!D61</f>
        <v>Syria</v>
      </c>
      <c r="D68" s="10" t="str">
        <f>[1]world_population_Raw_Data!F61</f>
        <v>Asia</v>
      </c>
      <c r="E68" s="11">
        <f>[1]world_population_Raw_Data!N61</f>
        <v>6319199</v>
      </c>
      <c r="F68" s="11">
        <f>[1]world_population_Raw_Data!M61</f>
        <v>8898954</v>
      </c>
      <c r="G68" s="18">
        <f t="shared" si="2"/>
        <v>0.40824082292708302</v>
      </c>
      <c r="H68" s="39">
        <f t="shared" si="3"/>
        <v>1.0348268605304816</v>
      </c>
      <c r="I68" s="11">
        <f>[1]world_population_Raw_Data!L61</f>
        <v>12408996</v>
      </c>
      <c r="J68" s="18">
        <f t="shared" si="4"/>
        <v>0.39443309854169378</v>
      </c>
      <c r="K68" s="39">
        <f t="shared" si="5"/>
        <v>1.0338077136144299</v>
      </c>
      <c r="L68" s="11">
        <f>[1]world_population_Raw_Data!K61</f>
        <v>16307654</v>
      </c>
      <c r="M68" s="18">
        <f t="shared" si="6"/>
        <v>0.31417997072446474</v>
      </c>
      <c r="N68" s="39">
        <f t="shared" si="7"/>
        <v>2.7697936197178086E-2</v>
      </c>
      <c r="O68" s="11">
        <f>[1]world_population_Raw_Data!J61</f>
        <v>22337563</v>
      </c>
      <c r="P68" s="18">
        <f t="shared" si="8"/>
        <v>0.36975943934056976</v>
      </c>
      <c r="Q68" s="39">
        <f t="shared" si="9"/>
        <v>3.1963721927007027E-2</v>
      </c>
      <c r="R68" s="11">
        <f>[1]world_population_Raw_Data!I61</f>
        <v>19205178</v>
      </c>
      <c r="S68" s="18">
        <f t="shared" si="10"/>
        <v>-0.14022948698566626</v>
      </c>
      <c r="T68" s="39">
        <f t="shared" si="11"/>
        <v>-2.9765956020223916E-2</v>
      </c>
      <c r="U68" s="11">
        <f>[1]world_population_Raw_Data!H61</f>
        <v>20772595</v>
      </c>
      <c r="V68" s="18">
        <f t="shared" si="12"/>
        <v>8.1614291729032659E-2</v>
      </c>
      <c r="W68" s="39">
        <f t="shared" si="13"/>
        <v>1.5814676953501472E-2</v>
      </c>
      <c r="X68" s="11">
        <f>[1]world_population_Raw_Data!G61</f>
        <v>22125249</v>
      </c>
      <c r="Y68" s="18">
        <f t="shared" si="0"/>
        <v>6.5117237398601382E-2</v>
      </c>
      <c r="Z68" s="39">
        <f t="shared" si="14"/>
        <v>3.2045172169610669E-2</v>
      </c>
      <c r="AA68" s="19">
        <f t="shared" si="1"/>
        <v>2.7748795725319147E-3</v>
      </c>
      <c r="AB68" s="45">
        <f t="shared" si="15"/>
        <v>2.439131366854097E-2</v>
      </c>
      <c r="AC68" s="81">
        <f>X68*(1+AB68)^8</f>
        <v>26829665.904788747</v>
      </c>
      <c r="AD68" s="81"/>
    </row>
    <row r="69" spans="2:30">
      <c r="B69" s="8">
        <f>[1]world_population_Raw_Data!B62</f>
        <v>61</v>
      </c>
      <c r="C69" s="9" t="str">
        <f>[1]world_population_Raw_Data!D62</f>
        <v>Sri Lanka</v>
      </c>
      <c r="D69" s="10" t="str">
        <f>[1]world_population_Raw_Data!F62</f>
        <v>Asia</v>
      </c>
      <c r="E69" s="11">
        <f>[1]world_population_Raw_Data!N62</f>
        <v>12388769</v>
      </c>
      <c r="F69" s="11">
        <f>[1]world_population_Raw_Data!M62</f>
        <v>14943645</v>
      </c>
      <c r="G69" s="18">
        <f t="shared" si="2"/>
        <v>0.20622517055568637</v>
      </c>
      <c r="H69" s="39">
        <f t="shared" si="3"/>
        <v>1.0189264560292752</v>
      </c>
      <c r="I69" s="11">
        <f>[1]world_population_Raw_Data!L62</f>
        <v>17204094</v>
      </c>
      <c r="J69" s="18">
        <f t="shared" si="4"/>
        <v>0.15126490223770706</v>
      </c>
      <c r="K69" s="39">
        <f t="shared" si="5"/>
        <v>1.0141858022236552</v>
      </c>
      <c r="L69" s="11">
        <f>[1]world_population_Raw_Data!K62</f>
        <v>18776371</v>
      </c>
      <c r="M69" s="18">
        <f t="shared" si="6"/>
        <v>9.1389700614284017E-2</v>
      </c>
      <c r="N69" s="39">
        <f t="shared" si="7"/>
        <v>8.7835347209677117E-3</v>
      </c>
      <c r="O69" s="11">
        <f>[1]world_population_Raw_Data!J62</f>
        <v>20668557</v>
      </c>
      <c r="P69" s="18">
        <f t="shared" si="8"/>
        <v>0.10077485154080093</v>
      </c>
      <c r="Q69" s="39">
        <f t="shared" si="9"/>
        <v>9.647675878071249E-3</v>
      </c>
      <c r="R69" s="11">
        <f>[1]world_population_Raw_Data!I62</f>
        <v>21336697</v>
      </c>
      <c r="S69" s="18">
        <f t="shared" si="10"/>
        <v>3.2326398016078242E-2</v>
      </c>
      <c r="T69" s="39">
        <f t="shared" si="11"/>
        <v>6.3832655954325634E-3</v>
      </c>
      <c r="U69" s="11">
        <f>[1]world_population_Raw_Data!H62</f>
        <v>21715079</v>
      </c>
      <c r="V69" s="18">
        <f t="shared" si="12"/>
        <v>1.7733860119024045E-2</v>
      </c>
      <c r="W69" s="39">
        <f t="shared" si="13"/>
        <v>3.5218772628862194E-3</v>
      </c>
      <c r="X69" s="11">
        <f>[1]world_population_Raw_Data!G62</f>
        <v>21832143</v>
      </c>
      <c r="Y69" s="18">
        <f t="shared" si="0"/>
        <v>5.3909083176717889E-3</v>
      </c>
      <c r="Z69" s="39">
        <f t="shared" si="14"/>
        <v>2.6918311812815787E-3</v>
      </c>
      <c r="AA69" s="19">
        <f t="shared" si="1"/>
        <v>2.7381191341754227E-3</v>
      </c>
      <c r="AB69" s="45">
        <f t="shared" si="15"/>
        <v>1.0955596980648963E-2</v>
      </c>
      <c r="AC69" s="81">
        <f t="shared" ref="AC69:AC84" si="19">X69*(1+AB69)^8</f>
        <v>23820617.490595497</v>
      </c>
      <c r="AD69" s="81"/>
    </row>
    <row r="70" spans="2:30">
      <c r="B70" s="8">
        <f>[1]world_population_Raw_Data!B63</f>
        <v>62</v>
      </c>
      <c r="C70" s="9" t="str">
        <f>[1]world_population_Raw_Data!D63</f>
        <v>Malawi</v>
      </c>
      <c r="D70" s="10" t="str">
        <f>[1]world_population_Raw_Data!F63</f>
        <v>Africa</v>
      </c>
      <c r="E70" s="11">
        <f>[1]world_population_Raw_Data!N63</f>
        <v>4625141</v>
      </c>
      <c r="F70" s="11">
        <f>[1]world_population_Raw_Data!M63</f>
        <v>6267369</v>
      </c>
      <c r="G70" s="18">
        <f t="shared" si="2"/>
        <v>0.35506549962476819</v>
      </c>
      <c r="H70" s="39">
        <f t="shared" si="3"/>
        <v>1.0308513139248692</v>
      </c>
      <c r="I70" s="11">
        <f>[1]world_population_Raw_Data!L63</f>
        <v>9539665</v>
      </c>
      <c r="J70" s="18">
        <f t="shared" si="4"/>
        <v>0.52211637770171182</v>
      </c>
      <c r="K70" s="39">
        <f t="shared" si="5"/>
        <v>1.0429050871465082</v>
      </c>
      <c r="L70" s="11">
        <f>[1]world_population_Raw_Data!K63</f>
        <v>11229387</v>
      </c>
      <c r="M70" s="18">
        <f t="shared" si="6"/>
        <v>0.17712592632969815</v>
      </c>
      <c r="N70" s="39">
        <f t="shared" si="7"/>
        <v>1.6441275536152933E-2</v>
      </c>
      <c r="O70" s="11">
        <f>[1]world_population_Raw_Data!J63</f>
        <v>14718422</v>
      </c>
      <c r="P70" s="18">
        <f t="shared" si="8"/>
        <v>0.31070574021538311</v>
      </c>
      <c r="Q70" s="39">
        <f t="shared" si="9"/>
        <v>2.742592518667597E-2</v>
      </c>
      <c r="R70" s="11">
        <f>[1]world_population_Raw_Data!I63</f>
        <v>16938942</v>
      </c>
      <c r="S70" s="18">
        <f t="shared" si="10"/>
        <v>0.15086671655426104</v>
      </c>
      <c r="T70" s="39">
        <f t="shared" si="11"/>
        <v>2.8501681501305942E-2</v>
      </c>
      <c r="U70" s="11">
        <f>[1]world_population_Raw_Data!H63</f>
        <v>19377061</v>
      </c>
      <c r="V70" s="18">
        <f t="shared" si="12"/>
        <v>0.14393573105097118</v>
      </c>
      <c r="W70" s="39">
        <f t="shared" si="13"/>
        <v>2.7259875684089829E-2</v>
      </c>
      <c r="X70" s="11">
        <f>[1]world_population_Raw_Data!G63</f>
        <v>20405317</v>
      </c>
      <c r="Y70" s="18">
        <f t="shared" si="0"/>
        <v>5.3065632605481299E-2</v>
      </c>
      <c r="Z70" s="39">
        <f t="shared" si="14"/>
        <v>2.6189861870346665E-2</v>
      </c>
      <c r="AA70" s="19">
        <f t="shared" si="1"/>
        <v>2.5591710770955941E-3</v>
      </c>
      <c r="AB70" s="45">
        <f t="shared" si="15"/>
        <v>2.895529667672303E-2</v>
      </c>
      <c r="AC70" s="81">
        <f t="shared" si="19"/>
        <v>25639845.433713552</v>
      </c>
      <c r="AD70" s="81"/>
    </row>
    <row r="71" spans="2:30">
      <c r="B71" s="8">
        <f>[1]world_population_Raw_Data!B64</f>
        <v>63</v>
      </c>
      <c r="C71" s="9" t="str">
        <f>[1]world_population_Raw_Data!D64</f>
        <v>Zambia</v>
      </c>
      <c r="D71" s="10" t="str">
        <f>[1]world_population_Raw_Data!F64</f>
        <v>Africa</v>
      </c>
      <c r="E71" s="11">
        <f>[1]world_population_Raw_Data!N64</f>
        <v>4281671</v>
      </c>
      <c r="F71" s="11">
        <f>[1]world_population_Raw_Data!M64</f>
        <v>5720438</v>
      </c>
      <c r="G71" s="18">
        <f t="shared" si="2"/>
        <v>0.33602932126265656</v>
      </c>
      <c r="H71" s="39">
        <f t="shared" si="3"/>
        <v>1.0293939203363973</v>
      </c>
      <c r="I71" s="11">
        <f>[1]world_population_Raw_Data!L64</f>
        <v>7686401</v>
      </c>
      <c r="J71" s="18">
        <f t="shared" si="4"/>
        <v>0.3436735089166249</v>
      </c>
      <c r="K71" s="39">
        <f t="shared" si="5"/>
        <v>1.0299813844901329</v>
      </c>
      <c r="L71" s="11">
        <f>[1]world_population_Raw_Data!K64</f>
        <v>9891136</v>
      </c>
      <c r="M71" s="18">
        <f t="shared" si="6"/>
        <v>0.28683580260774844</v>
      </c>
      <c r="N71" s="39">
        <f t="shared" si="7"/>
        <v>2.5539313672450215E-2</v>
      </c>
      <c r="O71" s="11">
        <f>[1]world_population_Raw_Data!J64</f>
        <v>13792086</v>
      </c>
      <c r="P71" s="18">
        <f t="shared" si="8"/>
        <v>0.39438847064684984</v>
      </c>
      <c r="Q71" s="39">
        <f t="shared" si="9"/>
        <v>3.3804404934619336E-2</v>
      </c>
      <c r="R71" s="11">
        <f>[1]world_population_Raw_Data!I64</f>
        <v>16248230</v>
      </c>
      <c r="S71" s="18">
        <f t="shared" si="10"/>
        <v>0.17808357633500835</v>
      </c>
      <c r="T71" s="39">
        <f t="shared" si="11"/>
        <v>3.3320916099728093E-2</v>
      </c>
      <c r="U71" s="11">
        <f>[1]world_population_Raw_Data!H64</f>
        <v>18927715</v>
      </c>
      <c r="V71" s="18">
        <f t="shared" si="12"/>
        <v>0.16490934704887855</v>
      </c>
      <c r="W71" s="39">
        <f t="shared" si="13"/>
        <v>3.0999431944716438E-2</v>
      </c>
      <c r="X71" s="11">
        <f>[1]world_population_Raw_Data!G64</f>
        <v>20017675</v>
      </c>
      <c r="Y71" s="18">
        <f t="shared" si="0"/>
        <v>5.7585397920456853E-2</v>
      </c>
      <c r="Z71" s="39">
        <f t="shared" si="14"/>
        <v>2.8389711111724836E-2</v>
      </c>
      <c r="AA71" s="19">
        <f t="shared" si="1"/>
        <v>2.5105542291109493E-3</v>
      </c>
      <c r="AB71" s="45">
        <f t="shared" si="15"/>
        <v>3.0103293633656714E-2</v>
      </c>
      <c r="AC71" s="81">
        <f t="shared" si="19"/>
        <v>25378142.99676815</v>
      </c>
      <c r="AD71" s="81"/>
    </row>
    <row r="72" spans="2:30">
      <c r="B72" s="8">
        <f>[1]world_population_Raw_Data!B65</f>
        <v>64</v>
      </c>
      <c r="C72" s="9" t="str">
        <f>[1]world_population_Raw_Data!D65</f>
        <v>Romania</v>
      </c>
      <c r="D72" s="10" t="str">
        <f>[1]world_population_Raw_Data!F65</f>
        <v>Europe</v>
      </c>
      <c r="E72" s="11">
        <f>[1]world_population_Raw_Data!N65</f>
        <v>19922618</v>
      </c>
      <c r="F72" s="11">
        <f>[1]world_population_Raw_Data!M65</f>
        <v>22125224</v>
      </c>
      <c r="G72" s="18">
        <f t="shared" si="2"/>
        <v>0.11055806019068377</v>
      </c>
      <c r="H72" s="39">
        <f t="shared" si="3"/>
        <v>1.010541438150026</v>
      </c>
      <c r="I72" s="11">
        <f>[1]world_population_Raw_Data!L65</f>
        <v>22836234</v>
      </c>
      <c r="J72" s="18">
        <f t="shared" si="4"/>
        <v>3.2135719846271386E-2</v>
      </c>
      <c r="K72" s="39">
        <f t="shared" si="5"/>
        <v>1.0031680246057142</v>
      </c>
      <c r="L72" s="11">
        <f>[1]world_population_Raw_Data!K65</f>
        <v>21919876</v>
      </c>
      <c r="M72" s="18">
        <f t="shared" si="6"/>
        <v>-4.0127369512854005E-2</v>
      </c>
      <c r="N72" s="39">
        <f t="shared" si="7"/>
        <v>-4.0870929978895632E-3</v>
      </c>
      <c r="O72" s="11">
        <f>[1]world_population_Raw_Data!J65</f>
        <v>20335211</v>
      </c>
      <c r="P72" s="18">
        <f t="shared" si="8"/>
        <v>-7.2293520273563588E-2</v>
      </c>
      <c r="Q72" s="39">
        <f t="shared" si="9"/>
        <v>-7.4759043302036199E-3</v>
      </c>
      <c r="R72" s="11">
        <f>[1]world_population_Raw_Data!I65</f>
        <v>19906079</v>
      </c>
      <c r="S72" s="18">
        <f t="shared" si="10"/>
        <v>-2.1102903726939445E-2</v>
      </c>
      <c r="T72" s="39">
        <f t="shared" si="11"/>
        <v>-4.2566652162133733E-3</v>
      </c>
      <c r="U72" s="11">
        <f>[1]world_population_Raw_Data!H65</f>
        <v>19442038</v>
      </c>
      <c r="V72" s="18">
        <f t="shared" si="12"/>
        <v>-2.3311522073232002E-2</v>
      </c>
      <c r="W72" s="39">
        <f t="shared" si="13"/>
        <v>-4.7063967505827087E-3</v>
      </c>
      <c r="X72" s="11">
        <f>[1]world_population_Raw_Data!G65</f>
        <v>19659267</v>
      </c>
      <c r="Y72" s="18">
        <f t="shared" si="0"/>
        <v>1.1173159933130467E-2</v>
      </c>
      <c r="Z72" s="39">
        <f t="shared" si="14"/>
        <v>5.5710616028736837E-3</v>
      </c>
      <c r="AA72" s="19">
        <f t="shared" si="1"/>
        <v>2.4656038180293828E-3</v>
      </c>
      <c r="AB72" s="45">
        <f t="shared" si="15"/>
        <v>-2.558680106712341E-4</v>
      </c>
      <c r="AC72" s="81">
        <f t="shared" si="19"/>
        <v>19619061.598978303</v>
      </c>
      <c r="AD72" s="81"/>
    </row>
    <row r="73" spans="2:30">
      <c r="B73" s="8">
        <f>[1]world_population_Raw_Data!B66</f>
        <v>65</v>
      </c>
      <c r="C73" s="9" t="str">
        <f>[1]world_population_Raw_Data!D66</f>
        <v>Chile</v>
      </c>
      <c r="D73" s="10" t="str">
        <f>[1]world_population_Raw_Data!F66</f>
        <v>South America</v>
      </c>
      <c r="E73" s="11">
        <f>[1]world_population_Raw_Data!N66</f>
        <v>9820481</v>
      </c>
      <c r="F73" s="11">
        <f>[1]world_population_Raw_Data!M66</f>
        <v>11469828</v>
      </c>
      <c r="G73" s="18">
        <f t="shared" si="2"/>
        <v>0.16794971651592219</v>
      </c>
      <c r="H73" s="39">
        <f t="shared" si="3"/>
        <v>1.0156461218875206</v>
      </c>
      <c r="I73" s="11">
        <f>[1]world_population_Raw_Data!L66</f>
        <v>13342868</v>
      </c>
      <c r="J73" s="18">
        <f t="shared" si="4"/>
        <v>0.16330148978694362</v>
      </c>
      <c r="K73" s="39">
        <f t="shared" si="5"/>
        <v>1.0152411875314831</v>
      </c>
      <c r="L73" s="11">
        <f>[1]world_population_Raw_Data!K66</f>
        <v>15351799</v>
      </c>
      <c r="M73" s="18">
        <f t="shared" si="6"/>
        <v>0.15056215800081363</v>
      </c>
      <c r="N73" s="39">
        <f t="shared" si="7"/>
        <v>1.4123878241308896E-2</v>
      </c>
      <c r="O73" s="11">
        <f>[1]world_population_Raw_Data!J66</f>
        <v>17004162</v>
      </c>
      <c r="P73" s="18">
        <f t="shared" si="8"/>
        <v>0.10763318357672609</v>
      </c>
      <c r="Q73" s="39">
        <f t="shared" si="9"/>
        <v>1.0274975910645523E-2</v>
      </c>
      <c r="R73" s="11">
        <f>[1]world_population_Raw_Data!I66</f>
        <v>17870124</v>
      </c>
      <c r="S73" s="18">
        <f t="shared" si="10"/>
        <v>5.092647317756676E-2</v>
      </c>
      <c r="T73" s="39">
        <f t="shared" si="11"/>
        <v>9.9839363330929132E-3</v>
      </c>
      <c r="U73" s="11">
        <f>[1]world_population_Raw_Data!H66</f>
        <v>19300315</v>
      </c>
      <c r="V73" s="18">
        <f t="shared" si="12"/>
        <v>8.0032516842076754E-2</v>
      </c>
      <c r="W73" s="39">
        <f t="shared" si="13"/>
        <v>1.5517393364553822E-2</v>
      </c>
      <c r="X73" s="11">
        <f>[1]world_population_Raw_Data!G66</f>
        <v>19603733</v>
      </c>
      <c r="Y73" s="18">
        <f t="shared" ref="Y73:Y136" si="20">(X73-U73)/U73</f>
        <v>1.5720883312008119E-2</v>
      </c>
      <c r="Z73" s="39">
        <f t="shared" si="14"/>
        <v>7.8297888592140374E-3</v>
      </c>
      <c r="AA73" s="19">
        <f t="shared" ref="AA73:AA136" si="21">X73/$X$241</f>
        <v>2.4586389173324014E-3</v>
      </c>
      <c r="AB73" s="45">
        <f t="shared" si="15"/>
        <v>1.338201568781372E-2</v>
      </c>
      <c r="AC73" s="81">
        <f t="shared" si="19"/>
        <v>21803404.916540649</v>
      </c>
      <c r="AD73" s="81"/>
    </row>
    <row r="74" spans="2:30">
      <c r="B74" s="8">
        <f>[1]world_population_Raw_Data!B67</f>
        <v>66</v>
      </c>
      <c r="C74" s="9" t="str">
        <f>[1]world_population_Raw_Data!D67</f>
        <v>Kazakhstan</v>
      </c>
      <c r="D74" s="10" t="str">
        <f>[1]world_population_Raw_Data!F67</f>
        <v>Asia</v>
      </c>
      <c r="E74" s="11">
        <f>[1]world_population_Raw_Data!N67</f>
        <v>12265305</v>
      </c>
      <c r="F74" s="11">
        <f>[1]world_population_Raw_Data!M67</f>
        <v>14172710</v>
      </c>
      <c r="G74" s="18">
        <f t="shared" ref="G74:G137" si="22">(F74-E74)/E74</f>
        <v>0.15551223552940591</v>
      </c>
      <c r="H74" s="39">
        <f t="shared" ref="H74:H137" si="23">(F74/E74)^(1/10)</f>
        <v>1.0145593435726266</v>
      </c>
      <c r="I74" s="11">
        <f>[1]world_population_Raw_Data!L67</f>
        <v>16866563</v>
      </c>
      <c r="J74" s="18">
        <f t="shared" ref="J74:J137" si="24">(I74-F74)/F74</f>
        <v>0.19007324640100587</v>
      </c>
      <c r="K74" s="39">
        <f t="shared" ref="K74:K137" si="25">(I74/F74)^(1/10)</f>
        <v>1.0175537735975315</v>
      </c>
      <c r="L74" s="11">
        <f>[1]world_population_Raw_Data!K67</f>
        <v>15236253</v>
      </c>
      <c r="M74" s="18">
        <f t="shared" ref="M74:M137" si="26">(L74-I74)/I74</f>
        <v>-9.6659289743855931E-2</v>
      </c>
      <c r="N74" s="39">
        <f t="shared" ref="N74:N137" si="27">(L74/I74)^(1/10)-1</f>
        <v>-1.0114054194638844E-2</v>
      </c>
      <c r="O74" s="11">
        <f>[1]world_population_Raw_Data!J67</f>
        <v>16627837</v>
      </c>
      <c r="P74" s="18">
        <f t="shared" ref="P74:P137" si="28">(O74-L74)/L74</f>
        <v>9.1333741963985499E-2</v>
      </c>
      <c r="Q74" s="39">
        <f t="shared" ref="Q74:Q137" si="29">(O74/L74)^(1/10)-1</f>
        <v>8.7783622818728979E-3</v>
      </c>
      <c r="R74" s="11">
        <f>[1]world_population_Raw_Data!I67</f>
        <v>17835909</v>
      </c>
      <c r="S74" s="18">
        <f t="shared" ref="S74:S137" si="30">(R74-O74)/O74</f>
        <v>7.2653586873626441E-2</v>
      </c>
      <c r="T74" s="39">
        <f t="shared" ref="T74:T137" si="31">(R74/O74)^(1/5)-1</f>
        <v>1.4125954788175576E-2</v>
      </c>
      <c r="U74" s="11">
        <f>[1]world_population_Raw_Data!H67</f>
        <v>18979243</v>
      </c>
      <c r="V74" s="18">
        <f t="shared" ref="V74:V137" si="32">(U74-R74)/R74</f>
        <v>6.4102928535910333E-2</v>
      </c>
      <c r="W74" s="39">
        <f t="shared" ref="W74:W137" si="33">(U74/R74)^(1/5)-1</f>
        <v>1.2503953535441426E-2</v>
      </c>
      <c r="X74" s="11">
        <f>[1]world_population_Raw_Data!G67</f>
        <v>19397998</v>
      </c>
      <c r="Y74" s="18">
        <f t="shared" si="20"/>
        <v>2.2063841007778865E-2</v>
      </c>
      <c r="Z74" s="39">
        <f t="shared" ref="Z74:Z137" si="34">(X74/U74)^(1/2)-1</f>
        <v>1.0971731062634049E-2</v>
      </c>
      <c r="AA74" s="19">
        <f t="shared" si="21"/>
        <v>2.4328362766997532E-3</v>
      </c>
      <c r="AB74" s="45">
        <f t="shared" ref="AB74:AB137" si="35">(X74/E74)^(1/52)-1</f>
        <v>8.8542637481010544E-3</v>
      </c>
      <c r="AC74" s="81">
        <f t="shared" si="19"/>
        <v>20815381.774278797</v>
      </c>
      <c r="AD74" s="81"/>
    </row>
    <row r="75" spans="2:30">
      <c r="B75" s="8">
        <f>[1]world_population_Raw_Data!B68</f>
        <v>67</v>
      </c>
      <c r="C75" s="9" t="str">
        <f>[1]world_population_Raw_Data!D68</f>
        <v>Ecuador</v>
      </c>
      <c r="D75" s="10" t="str">
        <f>[1]world_population_Raw_Data!F68</f>
        <v>South America</v>
      </c>
      <c r="E75" s="11">
        <f>[1]world_population_Raw_Data!N68</f>
        <v>6172215</v>
      </c>
      <c r="F75" s="11">
        <f>[1]world_population_Raw_Data!M68</f>
        <v>8135845</v>
      </c>
      <c r="G75" s="18">
        <f t="shared" si="22"/>
        <v>0.31814024624871295</v>
      </c>
      <c r="H75" s="39">
        <f t="shared" si="23"/>
        <v>1.0280072133442857</v>
      </c>
      <c r="I75" s="11">
        <f>[1]world_population_Raw_Data!L68</f>
        <v>10449837</v>
      </c>
      <c r="J75" s="18">
        <f t="shared" si="24"/>
        <v>0.28441938114602722</v>
      </c>
      <c r="K75" s="39">
        <f t="shared" si="25"/>
        <v>1.0253465748827593</v>
      </c>
      <c r="L75" s="11">
        <f>[1]world_population_Raw_Data!K68</f>
        <v>12626507</v>
      </c>
      <c r="M75" s="18">
        <f t="shared" si="26"/>
        <v>0.20829702893930307</v>
      </c>
      <c r="N75" s="39">
        <f t="shared" si="27"/>
        <v>1.9101335597290658E-2</v>
      </c>
      <c r="O75" s="11">
        <f>[1]world_population_Raw_Data!J68</f>
        <v>14989585</v>
      </c>
      <c r="P75" s="18">
        <f t="shared" si="28"/>
        <v>0.18715215538232388</v>
      </c>
      <c r="Q75" s="39">
        <f t="shared" si="29"/>
        <v>1.7303733910645658E-2</v>
      </c>
      <c r="R75" s="11">
        <f>[1]world_population_Raw_Data!I68</f>
        <v>16195902</v>
      </c>
      <c r="S75" s="18">
        <f t="shared" si="30"/>
        <v>8.0477011204779847E-2</v>
      </c>
      <c r="T75" s="39">
        <f t="shared" si="31"/>
        <v>1.5600968156720851E-2</v>
      </c>
      <c r="U75" s="11">
        <f>[1]world_population_Raw_Data!H68</f>
        <v>17588595</v>
      </c>
      <c r="V75" s="18">
        <f t="shared" si="32"/>
        <v>8.599045610426638E-2</v>
      </c>
      <c r="W75" s="39">
        <f t="shared" si="33"/>
        <v>1.6635338281255185E-2</v>
      </c>
      <c r="X75" s="11">
        <f>[1]world_population_Raw_Data!G68</f>
        <v>18001000</v>
      </c>
      <c r="Y75" s="18">
        <f t="shared" si="20"/>
        <v>2.3447296387232749E-2</v>
      </c>
      <c r="Z75" s="39">
        <f t="shared" si="34"/>
        <v>1.1655720285924431E-2</v>
      </c>
      <c r="AA75" s="19">
        <f t="shared" si="21"/>
        <v>2.257629154146333E-3</v>
      </c>
      <c r="AB75" s="45">
        <f t="shared" si="35"/>
        <v>2.079734191172955E-2</v>
      </c>
      <c r="AC75" s="81">
        <f t="shared" si="19"/>
        <v>21223298.186990805</v>
      </c>
      <c r="AD75" s="81"/>
    </row>
    <row r="76" spans="2:30">
      <c r="B76" s="8">
        <f>[1]world_population_Raw_Data!B69</f>
        <v>68</v>
      </c>
      <c r="C76" s="9" t="str">
        <f>[1]world_population_Raw_Data!D69</f>
        <v>Guatemala</v>
      </c>
      <c r="D76" s="10" t="str">
        <f>[1]world_population_Raw_Data!F69</f>
        <v>North America</v>
      </c>
      <c r="E76" s="11">
        <f>[1]world_population_Raw_Data!N69</f>
        <v>5453208</v>
      </c>
      <c r="F76" s="11">
        <f>[1]world_population_Raw_Data!M69</f>
        <v>6987767</v>
      </c>
      <c r="G76" s="18">
        <f t="shared" si="22"/>
        <v>0.28140481712782639</v>
      </c>
      <c r="H76" s="39">
        <f t="shared" si="23"/>
        <v>1.0251056689635158</v>
      </c>
      <c r="I76" s="11">
        <f>[1]world_population_Raw_Data!L69</f>
        <v>9084780</v>
      </c>
      <c r="J76" s="18">
        <f t="shared" si="24"/>
        <v>0.30009772792939432</v>
      </c>
      <c r="K76" s="39">
        <f t="shared" si="25"/>
        <v>1.0265913484195308</v>
      </c>
      <c r="L76" s="11">
        <f>[1]world_population_Raw_Data!K69</f>
        <v>11735894</v>
      </c>
      <c r="M76" s="18">
        <f t="shared" si="26"/>
        <v>0.29181928456165146</v>
      </c>
      <c r="N76" s="39">
        <f t="shared" si="27"/>
        <v>2.5935780100249328E-2</v>
      </c>
      <c r="O76" s="11">
        <f>[1]world_population_Raw_Data!J69</f>
        <v>14543121</v>
      </c>
      <c r="P76" s="18">
        <f t="shared" si="28"/>
        <v>0.23920009843306356</v>
      </c>
      <c r="Q76" s="39">
        <f t="shared" si="29"/>
        <v>2.1678240412580818E-2</v>
      </c>
      <c r="R76" s="11">
        <f>[1]world_population_Raw_Data!I69</f>
        <v>16001107</v>
      </c>
      <c r="S76" s="18">
        <f t="shared" si="30"/>
        <v>0.10025262115332741</v>
      </c>
      <c r="T76" s="39">
        <f t="shared" si="31"/>
        <v>1.9291687249008094E-2</v>
      </c>
      <c r="U76" s="11">
        <f>[1]world_population_Raw_Data!H69</f>
        <v>17362718</v>
      </c>
      <c r="V76" s="18">
        <f t="shared" si="32"/>
        <v>8.5094800003524762E-2</v>
      </c>
      <c r="W76" s="39">
        <f t="shared" si="33"/>
        <v>1.6467591654384606E-2</v>
      </c>
      <c r="X76" s="11">
        <f>[1]world_population_Raw_Data!G69</f>
        <v>17843908</v>
      </c>
      <c r="Y76" s="18">
        <f t="shared" si="20"/>
        <v>2.7713978882799341E-2</v>
      </c>
      <c r="Z76" s="39">
        <f t="shared" si="34"/>
        <v>1.3762289140210271E-2</v>
      </c>
      <c r="AA76" s="19">
        <f t="shared" si="21"/>
        <v>2.2379271665299142E-3</v>
      </c>
      <c r="AB76" s="45">
        <f t="shared" si="35"/>
        <v>2.3059114969865346E-2</v>
      </c>
      <c r="AC76" s="81">
        <f t="shared" si="19"/>
        <v>21413901.865772016</v>
      </c>
      <c r="AD76" s="81"/>
    </row>
    <row r="77" spans="2:30">
      <c r="B77" s="8">
        <f>[1]world_population_Raw_Data!B70</f>
        <v>69</v>
      </c>
      <c r="C77" s="9" t="str">
        <f>[1]world_population_Raw_Data!D70</f>
        <v>Chad</v>
      </c>
      <c r="D77" s="10" t="str">
        <f>[1]world_population_Raw_Data!F70</f>
        <v>Africa</v>
      </c>
      <c r="E77" s="11">
        <f>[1]world_population_Raw_Data!N70</f>
        <v>3667394</v>
      </c>
      <c r="F77" s="11">
        <f>[1]world_population_Raw_Data!M70</f>
        <v>4408230</v>
      </c>
      <c r="G77" s="18">
        <f t="shared" si="22"/>
        <v>0.20200611115140615</v>
      </c>
      <c r="H77" s="39">
        <f t="shared" si="23"/>
        <v>1.0185695000654975</v>
      </c>
      <c r="I77" s="11">
        <f>[1]world_population_Raw_Data!L70</f>
        <v>5827069</v>
      </c>
      <c r="J77" s="18">
        <f t="shared" si="24"/>
        <v>0.32186138200592984</v>
      </c>
      <c r="K77" s="39">
        <f t="shared" si="25"/>
        <v>1.028297053784949</v>
      </c>
      <c r="L77" s="11">
        <f>[1]world_population_Raw_Data!K70</f>
        <v>8259137</v>
      </c>
      <c r="M77" s="18">
        <f t="shared" si="26"/>
        <v>0.41737415499970909</v>
      </c>
      <c r="N77" s="39">
        <f t="shared" si="27"/>
        <v>3.549606040652753E-2</v>
      </c>
      <c r="O77" s="11">
        <f>[1]world_population_Raw_Data!J70</f>
        <v>11894727</v>
      </c>
      <c r="P77" s="18">
        <f t="shared" si="28"/>
        <v>0.44019005859813198</v>
      </c>
      <c r="Q77" s="39">
        <f t="shared" si="29"/>
        <v>3.7150977194484014E-2</v>
      </c>
      <c r="R77" s="11">
        <f>[1]world_population_Raw_Data!I70</f>
        <v>14140274</v>
      </c>
      <c r="S77" s="18">
        <f t="shared" si="30"/>
        <v>0.18878508098588559</v>
      </c>
      <c r="T77" s="39">
        <f t="shared" si="31"/>
        <v>3.5191433018047613E-2</v>
      </c>
      <c r="U77" s="11">
        <f>[1]world_population_Raw_Data!H70</f>
        <v>16644701</v>
      </c>
      <c r="V77" s="18">
        <f t="shared" si="32"/>
        <v>0.17711304604139919</v>
      </c>
      <c r="W77" s="39">
        <f t="shared" si="33"/>
        <v>3.3150605620964946E-2</v>
      </c>
      <c r="X77" s="11">
        <f>[1]world_population_Raw_Data!G70</f>
        <v>17723315</v>
      </c>
      <c r="Y77" s="18">
        <f t="shared" si="20"/>
        <v>6.4802245471396569E-2</v>
      </c>
      <c r="Z77" s="39">
        <f t="shared" si="34"/>
        <v>3.1892555197195138E-2</v>
      </c>
      <c r="AA77" s="19">
        <f t="shared" si="21"/>
        <v>2.2228027694083117E-3</v>
      </c>
      <c r="AB77" s="45">
        <f t="shared" si="35"/>
        <v>3.0759745804790128E-2</v>
      </c>
      <c r="AC77" s="81">
        <f t="shared" si="19"/>
        <v>22584191.83954256</v>
      </c>
      <c r="AD77" s="81"/>
    </row>
    <row r="78" spans="2:30">
      <c r="B78" s="8">
        <f>[1]world_population_Raw_Data!B71</f>
        <v>70</v>
      </c>
      <c r="C78" s="9" t="str">
        <f>[1]world_population_Raw_Data!D71</f>
        <v>Somalia</v>
      </c>
      <c r="D78" s="10" t="str">
        <f>[1]world_population_Raw_Data!F71</f>
        <v>Africa</v>
      </c>
      <c r="E78" s="11">
        <f>[1]world_population_Raw_Data!N71</f>
        <v>3720977</v>
      </c>
      <c r="F78" s="11">
        <f>[1]world_population_Raw_Data!M71</f>
        <v>5892224</v>
      </c>
      <c r="G78" s="18">
        <f t="shared" si="22"/>
        <v>0.58351529719210837</v>
      </c>
      <c r="H78" s="39">
        <f t="shared" si="23"/>
        <v>1.0470374757776666</v>
      </c>
      <c r="I78" s="11">
        <f>[1]world_population_Raw_Data!L71</f>
        <v>6999096</v>
      </c>
      <c r="J78" s="18">
        <f t="shared" si="24"/>
        <v>0.18785300762496471</v>
      </c>
      <c r="K78" s="39">
        <f t="shared" si="25"/>
        <v>1.0173637759413114</v>
      </c>
      <c r="L78" s="11">
        <f>[1]world_population_Raw_Data!K71</f>
        <v>8721465</v>
      </c>
      <c r="M78" s="18">
        <f t="shared" si="26"/>
        <v>0.24608449434041196</v>
      </c>
      <c r="N78" s="39">
        <f t="shared" si="27"/>
        <v>2.2244421383545987E-2</v>
      </c>
      <c r="O78" s="11">
        <f>[1]world_population_Raw_Data!J71</f>
        <v>12026649</v>
      </c>
      <c r="P78" s="18">
        <f t="shared" si="28"/>
        <v>0.37897119348641539</v>
      </c>
      <c r="Q78" s="39">
        <f t="shared" si="29"/>
        <v>3.2655635357360158E-2</v>
      </c>
      <c r="R78" s="11">
        <f>[1]world_population_Raw_Data!I71</f>
        <v>13763906</v>
      </c>
      <c r="S78" s="18">
        <f t="shared" si="30"/>
        <v>0.14445062793468072</v>
      </c>
      <c r="T78" s="39">
        <f t="shared" si="31"/>
        <v>2.7352335022305052E-2</v>
      </c>
      <c r="U78" s="11">
        <f>[1]world_population_Raw_Data!H71</f>
        <v>16537016</v>
      </c>
      <c r="V78" s="18">
        <f t="shared" si="32"/>
        <v>0.20147696446052452</v>
      </c>
      <c r="W78" s="39">
        <f t="shared" si="33"/>
        <v>3.7392466224661636E-2</v>
      </c>
      <c r="X78" s="11">
        <f>[1]world_population_Raw_Data!G71</f>
        <v>17597511</v>
      </c>
      <c r="Y78" s="18">
        <f t="shared" si="20"/>
        <v>6.4128558622668086E-2</v>
      </c>
      <c r="Z78" s="39">
        <f t="shared" si="34"/>
        <v>3.1566070895445941E-2</v>
      </c>
      <c r="AA78" s="19">
        <f t="shared" si="21"/>
        <v>2.2070248249547687E-3</v>
      </c>
      <c r="AB78" s="45">
        <f t="shared" si="35"/>
        <v>3.0331108812785335E-2</v>
      </c>
      <c r="AC78" s="81">
        <f t="shared" si="19"/>
        <v>22349393.744932052</v>
      </c>
      <c r="AD78" s="81"/>
    </row>
    <row r="79" spans="2:30">
      <c r="B79" s="8">
        <f>[1]world_population_Raw_Data!B72</f>
        <v>71</v>
      </c>
      <c r="C79" s="9" t="str">
        <f>[1]world_population_Raw_Data!D72</f>
        <v>Netherlands</v>
      </c>
      <c r="D79" s="10" t="str">
        <f>[1]world_population_Raw_Data!F72</f>
        <v>Europe</v>
      </c>
      <c r="E79" s="11">
        <f>[1]world_population_Raw_Data!N72</f>
        <v>13037686</v>
      </c>
      <c r="F79" s="11">
        <f>[1]world_population_Raw_Data!M72</f>
        <v>14130387</v>
      </c>
      <c r="G79" s="18">
        <f t="shared" si="22"/>
        <v>8.3810961546397111E-2</v>
      </c>
      <c r="H79" s="39">
        <f t="shared" si="23"/>
        <v>1.00808082484158</v>
      </c>
      <c r="I79" s="11">
        <f>[1]world_population_Raw_Data!L72</f>
        <v>14944548</v>
      </c>
      <c r="J79" s="18">
        <f t="shared" si="24"/>
        <v>5.7617742528920123E-2</v>
      </c>
      <c r="K79" s="39">
        <f t="shared" si="25"/>
        <v>1.0056176165823565</v>
      </c>
      <c r="L79" s="11">
        <f>[1]world_population_Raw_Data!K72</f>
        <v>15899135</v>
      </c>
      <c r="M79" s="18">
        <f t="shared" si="26"/>
        <v>6.3875267421938761E-2</v>
      </c>
      <c r="N79" s="39">
        <f t="shared" si="27"/>
        <v>6.2110243327282433E-3</v>
      </c>
      <c r="O79" s="11">
        <f>[1]world_population_Raw_Data!J72</f>
        <v>16617116</v>
      </c>
      <c r="P79" s="18">
        <f t="shared" si="28"/>
        <v>4.5158494471554587E-2</v>
      </c>
      <c r="Q79" s="39">
        <f t="shared" si="29"/>
        <v>4.4266230047433908E-3</v>
      </c>
      <c r="R79" s="11">
        <f>[1]world_population_Raw_Data!I72</f>
        <v>17041107</v>
      </c>
      <c r="S79" s="18">
        <f t="shared" si="30"/>
        <v>2.5515318061208696E-2</v>
      </c>
      <c r="T79" s="39">
        <f t="shared" si="31"/>
        <v>5.0517644665122319E-3</v>
      </c>
      <c r="U79" s="11">
        <f>[1]world_population_Raw_Data!H72</f>
        <v>17434557</v>
      </c>
      <c r="V79" s="18">
        <f t="shared" si="32"/>
        <v>2.3088288806589852E-2</v>
      </c>
      <c r="W79" s="39">
        <f t="shared" si="33"/>
        <v>4.5755936188904833E-3</v>
      </c>
      <c r="X79" s="11">
        <f>[1]world_population_Raw_Data!G72</f>
        <v>17564014</v>
      </c>
      <c r="Y79" s="18">
        <f t="shared" si="20"/>
        <v>7.4253105484699154E-3</v>
      </c>
      <c r="Z79" s="39">
        <f t="shared" si="34"/>
        <v>3.7057888387761473E-3</v>
      </c>
      <c r="AA79" s="19">
        <f t="shared" si="21"/>
        <v>2.2028237359165799E-3</v>
      </c>
      <c r="AB79" s="45">
        <f t="shared" si="35"/>
        <v>5.7473774510439224E-3</v>
      </c>
      <c r="AC79" s="81">
        <f t="shared" si="19"/>
        <v>18388023.281997677</v>
      </c>
      <c r="AD79" s="81"/>
    </row>
    <row r="80" spans="2:30">
      <c r="B80" s="8">
        <f>[1]world_population_Raw_Data!B73</f>
        <v>72</v>
      </c>
      <c r="C80" s="9" t="str">
        <f>[1]world_population_Raw_Data!D73</f>
        <v>Senegal</v>
      </c>
      <c r="D80" s="10" t="str">
        <f>[1]world_population_Raw_Data!F73</f>
        <v>Africa</v>
      </c>
      <c r="E80" s="11">
        <f>[1]world_population_Raw_Data!N73</f>
        <v>4367744</v>
      </c>
      <c r="F80" s="11">
        <f>[1]world_population_Raw_Data!M73</f>
        <v>5703869</v>
      </c>
      <c r="G80" s="18">
        <f t="shared" si="22"/>
        <v>0.30590735171292088</v>
      </c>
      <c r="H80" s="39">
        <f t="shared" si="23"/>
        <v>1.027049171716546</v>
      </c>
      <c r="I80" s="11">
        <f>[1]world_population_Raw_Data!L73</f>
        <v>7536001</v>
      </c>
      <c r="J80" s="18">
        <f t="shared" si="24"/>
        <v>0.32120863925872073</v>
      </c>
      <c r="K80" s="39">
        <f t="shared" si="25"/>
        <v>1.0282462645984494</v>
      </c>
      <c r="L80" s="11">
        <f>[1]world_population_Raw_Data!K73</f>
        <v>9704287</v>
      </c>
      <c r="M80" s="18">
        <f t="shared" si="26"/>
        <v>0.28772368793475478</v>
      </c>
      <c r="N80" s="39">
        <f t="shared" si="27"/>
        <v>2.5610051424012736E-2</v>
      </c>
      <c r="O80" s="11">
        <f>[1]world_population_Raw_Data!J73</f>
        <v>12530121</v>
      </c>
      <c r="P80" s="18">
        <f t="shared" si="28"/>
        <v>0.29119439686810583</v>
      </c>
      <c r="Q80" s="39">
        <f t="shared" si="29"/>
        <v>2.5886142024289294E-2</v>
      </c>
      <c r="R80" s="11">
        <f>[1]world_population_Raw_Data!I73</f>
        <v>14356181</v>
      </c>
      <c r="S80" s="18">
        <f t="shared" si="30"/>
        <v>0.14573362858985958</v>
      </c>
      <c r="T80" s="39">
        <f t="shared" si="31"/>
        <v>2.7582577029757749E-2</v>
      </c>
      <c r="U80" s="11">
        <f>[1]world_population_Raw_Data!H73</f>
        <v>16436119</v>
      </c>
      <c r="V80" s="18">
        <f t="shared" si="32"/>
        <v>0.14488100978944191</v>
      </c>
      <c r="W80" s="39">
        <f t="shared" si="33"/>
        <v>2.7429592581023066E-2</v>
      </c>
      <c r="X80" s="11">
        <f>[1]world_population_Raw_Data!G73</f>
        <v>17316449</v>
      </c>
      <c r="Y80" s="18">
        <f t="shared" si="20"/>
        <v>5.3560697631843623E-2</v>
      </c>
      <c r="Z80" s="39">
        <f t="shared" si="34"/>
        <v>2.6431048649564026E-2</v>
      </c>
      <c r="AA80" s="19">
        <f t="shared" si="21"/>
        <v>2.17177490743226E-3</v>
      </c>
      <c r="AB80" s="45">
        <f t="shared" si="35"/>
        <v>2.6842601030285795E-2</v>
      </c>
      <c r="AC80" s="81">
        <f t="shared" si="19"/>
        <v>21403749.67694474</v>
      </c>
      <c r="AD80" s="81"/>
    </row>
    <row r="81" spans="2:30">
      <c r="B81" s="8">
        <f>[1]world_population_Raw_Data!B74</f>
        <v>73</v>
      </c>
      <c r="C81" s="9" t="str">
        <f>[1]world_population_Raw_Data!D74</f>
        <v>Cambodia</v>
      </c>
      <c r="D81" s="10" t="str">
        <f>[1]world_population_Raw_Data!F74</f>
        <v>Asia</v>
      </c>
      <c r="E81" s="11">
        <f>[1]world_population_Raw_Data!N74</f>
        <v>6708525</v>
      </c>
      <c r="F81" s="11">
        <f>[1]world_population_Raw_Data!M74</f>
        <v>6198959</v>
      </c>
      <c r="G81" s="18">
        <f t="shared" si="22"/>
        <v>-7.5957978840356113E-2</v>
      </c>
      <c r="H81" s="39">
        <f t="shared" si="23"/>
        <v>0.99213134811048886</v>
      </c>
      <c r="I81" s="11">
        <f>[1]world_population_Raw_Data!L74</f>
        <v>8910808</v>
      </c>
      <c r="J81" s="18">
        <f t="shared" si="24"/>
        <v>0.43746845236434051</v>
      </c>
      <c r="K81" s="39">
        <f t="shared" si="25"/>
        <v>1.0369548142065488</v>
      </c>
      <c r="L81" s="11">
        <f>[1]world_population_Raw_Data!K74</f>
        <v>12118841</v>
      </c>
      <c r="M81" s="18">
        <f t="shared" si="26"/>
        <v>0.36001594917093938</v>
      </c>
      <c r="N81" s="39">
        <f t="shared" si="27"/>
        <v>3.122729628531884E-2</v>
      </c>
      <c r="O81" s="11">
        <f>[1]world_population_Raw_Data!J74</f>
        <v>14363532</v>
      </c>
      <c r="P81" s="18">
        <f t="shared" si="28"/>
        <v>0.18522324040723037</v>
      </c>
      <c r="Q81" s="39">
        <f t="shared" si="29"/>
        <v>1.7138318833226585E-2</v>
      </c>
      <c r="R81" s="11">
        <f>[1]world_population_Raw_Data!I74</f>
        <v>15417523</v>
      </c>
      <c r="S81" s="18">
        <f t="shared" si="30"/>
        <v>7.3379653416722299E-2</v>
      </c>
      <c r="T81" s="39">
        <f t="shared" si="31"/>
        <v>1.4263207607329687E-2</v>
      </c>
      <c r="U81" s="11">
        <f>[1]world_population_Raw_Data!H74</f>
        <v>16396860</v>
      </c>
      <c r="V81" s="18">
        <f t="shared" si="32"/>
        <v>6.3521033826250822E-2</v>
      </c>
      <c r="W81" s="39">
        <f t="shared" si="33"/>
        <v>1.2393193646795808E-2</v>
      </c>
      <c r="X81" s="11">
        <f>[1]world_population_Raw_Data!G74</f>
        <v>16767842</v>
      </c>
      <c r="Y81" s="18">
        <f t="shared" si="20"/>
        <v>2.2625185553819451E-2</v>
      </c>
      <c r="Z81" s="39">
        <f t="shared" si="34"/>
        <v>1.1249319185837381E-2</v>
      </c>
      <c r="AA81" s="19">
        <f t="shared" si="21"/>
        <v>2.10297033227706E-3</v>
      </c>
      <c r="AB81" s="45">
        <f t="shared" si="35"/>
        <v>1.7773090325659213E-2</v>
      </c>
      <c r="AC81" s="81">
        <f t="shared" si="19"/>
        <v>19305670.315600481</v>
      </c>
      <c r="AD81" s="81"/>
    </row>
    <row r="82" spans="2:30">
      <c r="B82" s="8">
        <f>[1]world_population_Raw_Data!B75</f>
        <v>74</v>
      </c>
      <c r="C82" s="9" t="str">
        <f>[1]world_population_Raw_Data!D75</f>
        <v>Zimbabwe</v>
      </c>
      <c r="D82" s="10" t="str">
        <f>[1]world_population_Raw_Data!F75</f>
        <v>Africa</v>
      </c>
      <c r="E82" s="11">
        <f>[1]world_population_Raw_Data!N75</f>
        <v>5202918</v>
      </c>
      <c r="F82" s="11">
        <f>[1]world_population_Raw_Data!M75</f>
        <v>7049926</v>
      </c>
      <c r="G82" s="18">
        <f t="shared" si="22"/>
        <v>0.35499463954650062</v>
      </c>
      <c r="H82" s="39">
        <f t="shared" si="23"/>
        <v>1.0308459231947702</v>
      </c>
      <c r="I82" s="11">
        <f>[1]world_population_Raw_Data!L75</f>
        <v>10113893</v>
      </c>
      <c r="J82" s="18">
        <f t="shared" si="24"/>
        <v>0.43460981008878674</v>
      </c>
      <c r="K82" s="39">
        <f t="shared" si="25"/>
        <v>1.0367484139238561</v>
      </c>
      <c r="L82" s="11">
        <f>[1]world_population_Raw_Data!K75</f>
        <v>11834676</v>
      </c>
      <c r="M82" s="18">
        <f t="shared" si="26"/>
        <v>0.17014051859160464</v>
      </c>
      <c r="N82" s="39">
        <f t="shared" si="27"/>
        <v>1.5836472863199003E-2</v>
      </c>
      <c r="O82" s="11">
        <f>[1]world_population_Raw_Data!J75</f>
        <v>12839771</v>
      </c>
      <c r="P82" s="18">
        <f t="shared" si="28"/>
        <v>8.492796929970875E-2</v>
      </c>
      <c r="Q82" s="39">
        <f t="shared" si="29"/>
        <v>8.18467249047794E-3</v>
      </c>
      <c r="R82" s="11">
        <f>[1]world_population_Raw_Data!I75</f>
        <v>14154937</v>
      </c>
      <c r="S82" s="18">
        <f t="shared" si="30"/>
        <v>0.10242908537854764</v>
      </c>
      <c r="T82" s="39">
        <f t="shared" si="31"/>
        <v>1.969463082004852E-2</v>
      </c>
      <c r="U82" s="11">
        <f>[1]world_population_Raw_Data!H75</f>
        <v>15669666</v>
      </c>
      <c r="V82" s="18">
        <f t="shared" si="32"/>
        <v>0.10701064935859482</v>
      </c>
      <c r="W82" s="39">
        <f t="shared" si="33"/>
        <v>2.0540771291242432E-2</v>
      </c>
      <c r="X82" s="11">
        <f>[1]world_population_Raw_Data!G75</f>
        <v>16320537</v>
      </c>
      <c r="Y82" s="18">
        <f t="shared" si="20"/>
        <v>4.1537005319704966E-2</v>
      </c>
      <c r="Z82" s="39">
        <f t="shared" si="34"/>
        <v>2.0557203354963915E-2</v>
      </c>
      <c r="AA82" s="19">
        <f t="shared" si="21"/>
        <v>2.0468707373214783E-3</v>
      </c>
      <c r="AB82" s="45">
        <f t="shared" si="35"/>
        <v>2.2228148808328241E-2</v>
      </c>
      <c r="AC82" s="81">
        <f t="shared" si="19"/>
        <v>19458848.240324359</v>
      </c>
      <c r="AD82" s="81"/>
    </row>
    <row r="83" spans="2:30">
      <c r="B83" s="8">
        <f>[1]world_population_Raw_Data!B76</f>
        <v>75</v>
      </c>
      <c r="C83" s="9" t="str">
        <f>[1]world_population_Raw_Data!D76</f>
        <v>Guinea</v>
      </c>
      <c r="D83" s="10" t="str">
        <f>[1]world_population_Raw_Data!F76</f>
        <v>Africa</v>
      </c>
      <c r="E83" s="11">
        <f>[1]world_population_Raw_Data!N76</f>
        <v>4222374</v>
      </c>
      <c r="F83" s="11">
        <f>[1]world_population_Raw_Data!M76</f>
        <v>4972609</v>
      </c>
      <c r="G83" s="18">
        <f t="shared" si="22"/>
        <v>0.17768084968314032</v>
      </c>
      <c r="H83" s="39">
        <f t="shared" si="23"/>
        <v>1.0164891826773821</v>
      </c>
      <c r="I83" s="11">
        <f>[1]world_population_Raw_Data!L76</f>
        <v>6354145</v>
      </c>
      <c r="J83" s="18">
        <f t="shared" si="24"/>
        <v>0.27782920394505178</v>
      </c>
      <c r="K83" s="39">
        <f t="shared" si="25"/>
        <v>1.02481926516928</v>
      </c>
      <c r="L83" s="11">
        <f>[1]world_population_Raw_Data!K76</f>
        <v>8336967</v>
      </c>
      <c r="M83" s="18">
        <f t="shared" si="26"/>
        <v>0.31205173945511161</v>
      </c>
      <c r="N83" s="39">
        <f t="shared" si="27"/>
        <v>2.7531385612958204E-2</v>
      </c>
      <c r="O83" s="11">
        <f>[1]world_population_Raw_Data!J76</f>
        <v>10270728</v>
      </c>
      <c r="P83" s="18">
        <f t="shared" si="28"/>
        <v>0.2319501804433195</v>
      </c>
      <c r="Q83" s="39">
        <f t="shared" si="29"/>
        <v>2.1078929874877028E-2</v>
      </c>
      <c r="R83" s="11">
        <f>[1]world_population_Raw_Data!I76</f>
        <v>11625998</v>
      </c>
      <c r="S83" s="18">
        <f t="shared" si="30"/>
        <v>0.13195461899098096</v>
      </c>
      <c r="T83" s="39">
        <f t="shared" si="31"/>
        <v>2.509898427211521E-2</v>
      </c>
      <c r="U83" s="11">
        <f>[1]world_population_Raw_Data!H76</f>
        <v>13205153</v>
      </c>
      <c r="V83" s="18">
        <f t="shared" si="32"/>
        <v>0.13582962942192145</v>
      </c>
      <c r="W83" s="39">
        <f t="shared" si="33"/>
        <v>2.5799867689481726E-2</v>
      </c>
      <c r="X83" s="11">
        <f>[1]world_population_Raw_Data!G76</f>
        <v>13859341</v>
      </c>
      <c r="Y83" s="18">
        <f t="shared" si="20"/>
        <v>4.9540357464998699E-2</v>
      </c>
      <c r="Z83" s="39">
        <f t="shared" si="34"/>
        <v>2.4470769453671881E-2</v>
      </c>
      <c r="AA83" s="19">
        <f t="shared" si="21"/>
        <v>1.738195227979312E-3</v>
      </c>
      <c r="AB83" s="45">
        <f t="shared" si="35"/>
        <v>2.3120181902667403E-2</v>
      </c>
      <c r="AC83" s="81">
        <f t="shared" si="19"/>
        <v>16640094.678890163</v>
      </c>
      <c r="AD83" s="81"/>
    </row>
    <row r="84" spans="2:30">
      <c r="B84" s="8">
        <f>[1]world_population_Raw_Data!B77</f>
        <v>76</v>
      </c>
      <c r="C84" s="9" t="str">
        <f>[1]world_population_Raw_Data!D77</f>
        <v>Rwanda</v>
      </c>
      <c r="D84" s="10" t="str">
        <f>[1]world_population_Raw_Data!F77</f>
        <v>Africa</v>
      </c>
      <c r="E84" s="11">
        <f>[1]world_population_Raw_Data!N77</f>
        <v>3896367</v>
      </c>
      <c r="F84" s="11">
        <f>[1]world_population_Raw_Data!M77</f>
        <v>5247532</v>
      </c>
      <c r="G84" s="18">
        <f t="shared" si="22"/>
        <v>0.34677559891047222</v>
      </c>
      <c r="H84" s="39">
        <f t="shared" si="23"/>
        <v>1.0302189258564867</v>
      </c>
      <c r="I84" s="11">
        <f>[1]world_population_Raw_Data!L77</f>
        <v>7319962</v>
      </c>
      <c r="J84" s="18">
        <f t="shared" si="24"/>
        <v>0.39493422812857548</v>
      </c>
      <c r="K84" s="39">
        <f t="shared" si="25"/>
        <v>1.0338448604570629</v>
      </c>
      <c r="L84" s="11">
        <f>[1]world_population_Raw_Data!K77</f>
        <v>8109989</v>
      </c>
      <c r="M84" s="18">
        <f t="shared" si="26"/>
        <v>0.10792774607299874</v>
      </c>
      <c r="N84" s="39">
        <f t="shared" si="27"/>
        <v>1.0301839814330416E-2</v>
      </c>
      <c r="O84" s="11">
        <f>[1]world_population_Raw_Data!J77</f>
        <v>10309031</v>
      </c>
      <c r="P84" s="18">
        <f t="shared" si="28"/>
        <v>0.27115227899815891</v>
      </c>
      <c r="Q84" s="39">
        <f t="shared" si="29"/>
        <v>2.4282512358472452E-2</v>
      </c>
      <c r="R84" s="11">
        <f>[1]world_population_Raw_Data!I77</f>
        <v>11642959</v>
      </c>
      <c r="S84" s="18">
        <f t="shared" si="30"/>
        <v>0.12939412055313443</v>
      </c>
      <c r="T84" s="39">
        <f t="shared" si="31"/>
        <v>2.4634806215013683E-2</v>
      </c>
      <c r="U84" s="11">
        <f>[1]world_population_Raw_Data!H77</f>
        <v>13146362</v>
      </c>
      <c r="V84" s="18">
        <f t="shared" si="32"/>
        <v>0.12912550838665668</v>
      </c>
      <c r="W84" s="39">
        <f t="shared" si="33"/>
        <v>2.4586062280932408E-2</v>
      </c>
      <c r="X84" s="11">
        <f>[1]world_population_Raw_Data!G77</f>
        <v>13776698</v>
      </c>
      <c r="Y84" s="18">
        <f t="shared" si="20"/>
        <v>4.7947561462250925E-2</v>
      </c>
      <c r="Z84" s="39">
        <f t="shared" si="34"/>
        <v>2.3693099254972427E-2</v>
      </c>
      <c r="AA84" s="19">
        <f t="shared" si="21"/>
        <v>1.7278304012371245E-3</v>
      </c>
      <c r="AB84" s="45">
        <f t="shared" si="35"/>
        <v>2.4584529100400321E-2</v>
      </c>
      <c r="AC84" s="81">
        <f t="shared" si="19"/>
        <v>16731215.359500004</v>
      </c>
      <c r="AD84" s="81"/>
    </row>
    <row r="85" spans="2:30">
      <c r="B85" s="8">
        <f>[1]world_population_Raw_Data!B78</f>
        <v>77</v>
      </c>
      <c r="C85" s="9" t="str">
        <f>[1]world_population_Raw_Data!D78</f>
        <v>Benin</v>
      </c>
      <c r="D85" s="10" t="str">
        <f>[1]world_population_Raw_Data!F78</f>
        <v>Africa</v>
      </c>
      <c r="E85" s="11">
        <f>[1]world_population_Raw_Data!N78</f>
        <v>3023443</v>
      </c>
      <c r="F85" s="11">
        <f>[1]world_population_Raw_Data!M78</f>
        <v>3833939</v>
      </c>
      <c r="G85" s="18">
        <f t="shared" si="22"/>
        <v>0.26807054077090259</v>
      </c>
      <c r="H85" s="39">
        <f t="shared" si="23"/>
        <v>1.0240339174709945</v>
      </c>
      <c r="I85" s="11">
        <f>[1]world_population_Raw_Data!L78</f>
        <v>5133419</v>
      </c>
      <c r="J85" s="18">
        <f t="shared" si="24"/>
        <v>0.33894122989437236</v>
      </c>
      <c r="K85" s="39">
        <f t="shared" si="25"/>
        <v>1.0296180595180024</v>
      </c>
      <c r="L85" s="11">
        <f>[1]world_population_Raw_Data!K78</f>
        <v>6998023</v>
      </c>
      <c r="M85" s="18">
        <f t="shared" si="26"/>
        <v>0.36322848378439399</v>
      </c>
      <c r="N85" s="39">
        <f t="shared" si="27"/>
        <v>3.1470627050591116E-2</v>
      </c>
      <c r="O85" s="11">
        <f>[1]world_population_Raw_Data!J78</f>
        <v>9445710</v>
      </c>
      <c r="P85" s="18">
        <f t="shared" si="28"/>
        <v>0.34976835600568906</v>
      </c>
      <c r="Q85" s="39">
        <f t="shared" si="29"/>
        <v>3.0447628857899423E-2</v>
      </c>
      <c r="R85" s="11">
        <f>[1]world_population_Raw_Data!I78</f>
        <v>10932783</v>
      </c>
      <c r="S85" s="18">
        <f t="shared" si="30"/>
        <v>0.15743369212054997</v>
      </c>
      <c r="T85" s="39">
        <f t="shared" si="31"/>
        <v>2.9672760987360158E-2</v>
      </c>
      <c r="U85" s="11">
        <f>[1]world_population_Raw_Data!H78</f>
        <v>12643123</v>
      </c>
      <c r="V85" s="18">
        <f t="shared" si="32"/>
        <v>0.1564414111210293</v>
      </c>
      <c r="W85" s="39">
        <f t="shared" si="33"/>
        <v>2.9496150391313147E-2</v>
      </c>
      <c r="X85" s="11">
        <f>[1]world_population_Raw_Data!G78</f>
        <v>13352864</v>
      </c>
      <c r="Y85" s="18">
        <f t="shared" si="20"/>
        <v>5.6136525761870705E-2</v>
      </c>
      <c r="Z85" s="39">
        <f t="shared" si="34"/>
        <v>2.7685032372210205E-2</v>
      </c>
      <c r="AA85" s="19">
        <f t="shared" si="21"/>
        <v>1.6746744657380713E-3</v>
      </c>
      <c r="AB85" s="45">
        <f t="shared" si="35"/>
        <v>2.8975994682483908E-2</v>
      </c>
      <c r="AC85" s="81">
        <f>X85*(1+AB85)^8</f>
        <v>16780943.314374428</v>
      </c>
      <c r="AD85" s="81"/>
    </row>
    <row r="86" spans="2:30">
      <c r="B86" s="8">
        <f>[1]world_population_Raw_Data!B79</f>
        <v>78</v>
      </c>
      <c r="C86" s="9" t="str">
        <f>[1]world_population_Raw_Data!D79</f>
        <v>Burundi</v>
      </c>
      <c r="D86" s="10" t="str">
        <f>[1]world_population_Raw_Data!F79</f>
        <v>Africa</v>
      </c>
      <c r="E86" s="11">
        <f>[1]world_population_Raw_Data!N79</f>
        <v>3497834</v>
      </c>
      <c r="F86" s="11">
        <f>[1]world_population_Raw_Data!M79</f>
        <v>4312834</v>
      </c>
      <c r="G86" s="18">
        <f t="shared" si="22"/>
        <v>0.23300133739908754</v>
      </c>
      <c r="H86" s="39">
        <f t="shared" si="23"/>
        <v>1.0211660196248107</v>
      </c>
      <c r="I86" s="11">
        <f>[1]world_population_Raw_Data!L79</f>
        <v>5483793</v>
      </c>
      <c r="J86" s="18">
        <f t="shared" si="24"/>
        <v>0.27150569671821362</v>
      </c>
      <c r="K86" s="39">
        <f t="shared" si="25"/>
        <v>1.0243109868625284</v>
      </c>
      <c r="L86" s="11">
        <f>[1]world_population_Raw_Data!K79</f>
        <v>6307659</v>
      </c>
      <c r="M86" s="18">
        <f t="shared" si="26"/>
        <v>0.15023652424517117</v>
      </c>
      <c r="N86" s="39">
        <f t="shared" si="27"/>
        <v>1.4095172705431702E-2</v>
      </c>
      <c r="O86" s="11">
        <f>[1]world_population_Raw_Data!J79</f>
        <v>9126605</v>
      </c>
      <c r="P86" s="18">
        <f t="shared" si="28"/>
        <v>0.4469084330652624</v>
      </c>
      <c r="Q86" s="39">
        <f t="shared" si="29"/>
        <v>3.7633787390828788E-2</v>
      </c>
      <c r="R86" s="11">
        <f>[1]world_population_Raw_Data!I79</f>
        <v>10727148</v>
      </c>
      <c r="S86" s="18">
        <f t="shared" si="30"/>
        <v>0.17537112650322875</v>
      </c>
      <c r="T86" s="39">
        <f t="shared" si="31"/>
        <v>3.2844648354847905E-2</v>
      </c>
      <c r="U86" s="11">
        <f>[1]world_population_Raw_Data!H79</f>
        <v>12220227</v>
      </c>
      <c r="V86" s="18">
        <f t="shared" si="32"/>
        <v>0.13918694885164257</v>
      </c>
      <c r="W86" s="39">
        <f t="shared" si="33"/>
        <v>2.6405570000143541E-2</v>
      </c>
      <c r="X86" s="11">
        <f>[1]world_population_Raw_Data!G79</f>
        <v>12889576</v>
      </c>
      <c r="Y86" s="18">
        <f t="shared" si="20"/>
        <v>5.4773859765452799E-2</v>
      </c>
      <c r="Z86" s="39">
        <f t="shared" si="34"/>
        <v>2.702183996517471E-2</v>
      </c>
      <c r="AA86" s="19">
        <f t="shared" si="21"/>
        <v>1.6165703328806663E-3</v>
      </c>
      <c r="AB86" s="45">
        <f t="shared" si="35"/>
        <v>2.5399416780342632E-2</v>
      </c>
      <c r="AC86" s="81">
        <f t="shared" ref="AC86:AC101" si="36">X86*(1+AB86)^8</f>
        <v>15753721.379877284</v>
      </c>
      <c r="AD86" s="81"/>
    </row>
    <row r="87" spans="2:30">
      <c r="B87" s="8">
        <f>[1]world_population_Raw_Data!B80</f>
        <v>79</v>
      </c>
      <c r="C87" s="9" t="str">
        <f>[1]world_population_Raw_Data!D80</f>
        <v>Tunisia</v>
      </c>
      <c r="D87" s="10" t="str">
        <f>[1]world_population_Raw_Data!F80</f>
        <v>Africa</v>
      </c>
      <c r="E87" s="11">
        <f>[1]world_population_Raw_Data!N80</f>
        <v>5047404</v>
      </c>
      <c r="F87" s="11">
        <f>[1]world_population_Raw_Data!M80</f>
        <v>6578156</v>
      </c>
      <c r="G87" s="18">
        <f t="shared" si="22"/>
        <v>0.30327510934333768</v>
      </c>
      <c r="H87" s="39">
        <f t="shared" si="23"/>
        <v>1.0268419673076894</v>
      </c>
      <c r="I87" s="11">
        <f>[1]world_population_Raw_Data!L80</f>
        <v>8440023</v>
      </c>
      <c r="J87" s="18">
        <f t="shared" si="24"/>
        <v>0.28303783005450162</v>
      </c>
      <c r="K87" s="39">
        <f t="shared" si="25"/>
        <v>1.0252362328223508</v>
      </c>
      <c r="L87" s="11">
        <f>[1]world_population_Raw_Data!K80</f>
        <v>9893316</v>
      </c>
      <c r="M87" s="18">
        <f t="shared" si="26"/>
        <v>0.17219064450416782</v>
      </c>
      <c r="N87" s="39">
        <f t="shared" si="27"/>
        <v>1.6014310696743861E-2</v>
      </c>
      <c r="O87" s="11">
        <f>[1]world_population_Raw_Data!J80</f>
        <v>10895063</v>
      </c>
      <c r="P87" s="18">
        <f t="shared" si="28"/>
        <v>0.10125492807467183</v>
      </c>
      <c r="Q87" s="39">
        <f t="shared" si="29"/>
        <v>9.6917005989334282E-3</v>
      </c>
      <c r="R87" s="11">
        <f>[1]world_population_Raw_Data!I80</f>
        <v>11557779</v>
      </c>
      <c r="S87" s="18">
        <f t="shared" si="30"/>
        <v>6.0827183835467494E-2</v>
      </c>
      <c r="T87" s="39">
        <f t="shared" si="31"/>
        <v>1.1879804122700843E-2</v>
      </c>
      <c r="U87" s="11">
        <f>[1]world_population_Raw_Data!H80</f>
        <v>12161723</v>
      </c>
      <c r="V87" s="18">
        <f t="shared" si="32"/>
        <v>5.2254330178834532E-2</v>
      </c>
      <c r="W87" s="39">
        <f t="shared" si="33"/>
        <v>1.0239032571255358E-2</v>
      </c>
      <c r="X87" s="11">
        <f>[1]world_population_Raw_Data!G80</f>
        <v>12356117</v>
      </c>
      <c r="Y87" s="18">
        <f t="shared" si="20"/>
        <v>1.5984083834173827E-2</v>
      </c>
      <c r="Z87" s="39">
        <f t="shared" si="34"/>
        <v>7.9603582652314486E-3</v>
      </c>
      <c r="AA87" s="19">
        <f t="shared" si="21"/>
        <v>1.549665572537255E-3</v>
      </c>
      <c r="AB87" s="45">
        <f t="shared" si="35"/>
        <v>1.7365933620997032E-2</v>
      </c>
      <c r="AC87" s="81">
        <f t="shared" si="36"/>
        <v>14180761.141377097</v>
      </c>
      <c r="AD87" s="81"/>
    </row>
    <row r="88" spans="2:30">
      <c r="B88" s="8">
        <f>[1]world_population_Raw_Data!B81</f>
        <v>80</v>
      </c>
      <c r="C88" s="9" t="str">
        <f>[1]world_population_Raw_Data!D81</f>
        <v>Bolivia</v>
      </c>
      <c r="D88" s="10" t="str">
        <f>[1]world_population_Raw_Data!F81</f>
        <v>South America</v>
      </c>
      <c r="E88" s="11">
        <f>[1]world_population_Raw_Data!N81</f>
        <v>4585693</v>
      </c>
      <c r="F88" s="11">
        <f>[1]world_population_Raw_Data!M81</f>
        <v>5736088</v>
      </c>
      <c r="G88" s="18">
        <f t="shared" si="22"/>
        <v>0.25086611772746237</v>
      </c>
      <c r="H88" s="39">
        <f t="shared" si="23"/>
        <v>1.0226360134277137</v>
      </c>
      <c r="I88" s="11">
        <f>[1]world_population_Raw_Data!L81</f>
        <v>7096194</v>
      </c>
      <c r="J88" s="18">
        <f t="shared" si="24"/>
        <v>0.2371138657565923</v>
      </c>
      <c r="K88" s="39">
        <f t="shared" si="25"/>
        <v>1.0215061071932048</v>
      </c>
      <c r="L88" s="11">
        <f>[1]world_population_Raw_Data!K81</f>
        <v>8592656</v>
      </c>
      <c r="M88" s="18">
        <f t="shared" si="26"/>
        <v>0.21088234058989933</v>
      </c>
      <c r="N88" s="39">
        <f t="shared" si="27"/>
        <v>1.931917617374479E-2</v>
      </c>
      <c r="O88" s="11">
        <f>[1]world_population_Raw_Data!J81</f>
        <v>10223270</v>
      </c>
      <c r="P88" s="18">
        <f t="shared" si="28"/>
        <v>0.18976833239920229</v>
      </c>
      <c r="Q88" s="39">
        <f t="shared" si="29"/>
        <v>1.7527699389701334E-2</v>
      </c>
      <c r="R88" s="11">
        <f>[1]world_population_Raw_Data!I81</f>
        <v>11090085</v>
      </c>
      <c r="S88" s="18">
        <f t="shared" si="30"/>
        <v>8.4788428751270392E-2</v>
      </c>
      <c r="T88" s="39">
        <f t="shared" si="31"/>
        <v>1.6410186232174606E-2</v>
      </c>
      <c r="U88" s="11">
        <f>[1]world_population_Raw_Data!H81</f>
        <v>11936162</v>
      </c>
      <c r="V88" s="18">
        <f t="shared" si="32"/>
        <v>7.6291299841254601E-2</v>
      </c>
      <c r="W88" s="39">
        <f t="shared" si="33"/>
        <v>1.4812868992753803E-2</v>
      </c>
      <c r="X88" s="11">
        <f>[1]world_population_Raw_Data!G81</f>
        <v>12224110</v>
      </c>
      <c r="Y88" s="18">
        <f t="shared" si="20"/>
        <v>2.4124002338440111E-2</v>
      </c>
      <c r="Z88" s="39">
        <f t="shared" si="34"/>
        <v>1.1990119684199385E-2</v>
      </c>
      <c r="AA88" s="19">
        <f t="shared" si="21"/>
        <v>1.5331096672124732E-3</v>
      </c>
      <c r="AB88" s="45">
        <f t="shared" si="35"/>
        <v>1.9034054201566564E-2</v>
      </c>
      <c r="AC88" s="81">
        <f t="shared" si="36"/>
        <v>14214344.267478501</v>
      </c>
      <c r="AD88" s="81"/>
    </row>
    <row r="89" spans="2:30">
      <c r="B89" s="8">
        <f>[1]world_population_Raw_Data!B82</f>
        <v>81</v>
      </c>
      <c r="C89" s="9" t="str">
        <f>[1]world_population_Raw_Data!D82</f>
        <v>Belgium</v>
      </c>
      <c r="D89" s="10" t="str">
        <f>[1]world_population_Raw_Data!F82</f>
        <v>Europe</v>
      </c>
      <c r="E89" s="11">
        <f>[1]world_population_Raw_Data!N82</f>
        <v>9629376</v>
      </c>
      <c r="F89" s="11">
        <f>[1]world_population_Raw_Data!M82</f>
        <v>9828986</v>
      </c>
      <c r="G89" s="18">
        <f t="shared" si="22"/>
        <v>2.0729276746489077E-2</v>
      </c>
      <c r="H89" s="39">
        <f t="shared" si="23"/>
        <v>1.0020538411507147</v>
      </c>
      <c r="I89" s="11">
        <f>[1]world_population_Raw_Data!L82</f>
        <v>9959560</v>
      </c>
      <c r="J89" s="18">
        <f t="shared" si="24"/>
        <v>1.3284585001952389E-2</v>
      </c>
      <c r="K89" s="39">
        <f t="shared" si="25"/>
        <v>1.0013205830715994</v>
      </c>
      <c r="L89" s="11">
        <f>[1]world_population_Raw_Data!K82</f>
        <v>10264343</v>
      </c>
      <c r="M89" s="18">
        <f t="shared" si="26"/>
        <v>3.0602054709244184E-2</v>
      </c>
      <c r="N89" s="39">
        <f t="shared" si="27"/>
        <v>3.0188626770080162E-3</v>
      </c>
      <c r="O89" s="11">
        <f>[1]world_population_Raw_Data!J82</f>
        <v>10877947</v>
      </c>
      <c r="P89" s="18">
        <f t="shared" si="28"/>
        <v>5.9780153488635364E-2</v>
      </c>
      <c r="Q89" s="39">
        <f t="shared" si="29"/>
        <v>5.8230367737550637E-3</v>
      </c>
      <c r="R89" s="11">
        <f>[1]world_population_Raw_Data!I82</f>
        <v>11248303</v>
      </c>
      <c r="S89" s="18">
        <f t="shared" si="30"/>
        <v>3.4046497928331511E-2</v>
      </c>
      <c r="T89" s="39">
        <f t="shared" si="31"/>
        <v>6.7184167970240072E-3</v>
      </c>
      <c r="U89" s="11">
        <f>[1]world_population_Raw_Data!H82</f>
        <v>11561717</v>
      </c>
      <c r="V89" s="18">
        <f t="shared" si="32"/>
        <v>2.7863225234953218E-2</v>
      </c>
      <c r="W89" s="39">
        <f t="shared" si="33"/>
        <v>5.5115547989874614E-3</v>
      </c>
      <c r="X89" s="11">
        <f>[1]world_population_Raw_Data!G82</f>
        <v>11655930</v>
      </c>
      <c r="Y89" s="18">
        <f t="shared" si="20"/>
        <v>8.1487031727207997E-3</v>
      </c>
      <c r="Z89" s="39">
        <f t="shared" si="34"/>
        <v>4.0660850624927303E-3</v>
      </c>
      <c r="AA89" s="19">
        <f t="shared" si="21"/>
        <v>1.4618503075767384E-3</v>
      </c>
      <c r="AB89" s="45">
        <f t="shared" si="35"/>
        <v>3.6797660293632628E-3</v>
      </c>
      <c r="AC89" s="81">
        <f t="shared" si="36"/>
        <v>12003510.652916767</v>
      </c>
      <c r="AD89" s="81"/>
    </row>
    <row r="90" spans="2:30">
      <c r="B90" s="8">
        <f>[1]world_population_Raw_Data!B83</f>
        <v>82</v>
      </c>
      <c r="C90" s="9" t="str">
        <f>[1]world_population_Raw_Data!D83</f>
        <v>Haiti</v>
      </c>
      <c r="D90" s="10" t="str">
        <f>[1]world_population_Raw_Data!F83</f>
        <v>North America</v>
      </c>
      <c r="E90" s="11">
        <f>[1]world_population_Raw_Data!N83</f>
        <v>4680812</v>
      </c>
      <c r="F90" s="11">
        <f>[1]world_population_Raw_Data!M83</f>
        <v>5646676</v>
      </c>
      <c r="G90" s="18">
        <f t="shared" si="22"/>
        <v>0.20634539477338548</v>
      </c>
      <c r="H90" s="39">
        <f t="shared" si="23"/>
        <v>1.0189366111930975</v>
      </c>
      <c r="I90" s="11">
        <f>[1]world_population_Raw_Data!L83</f>
        <v>6925331</v>
      </c>
      <c r="J90" s="18">
        <f t="shared" si="24"/>
        <v>0.22644384058869324</v>
      </c>
      <c r="K90" s="39">
        <f t="shared" si="25"/>
        <v>1.0206216266248163</v>
      </c>
      <c r="L90" s="11">
        <f>[1]world_population_Raw_Data!K83</f>
        <v>8360225</v>
      </c>
      <c r="M90" s="18">
        <f t="shared" si="26"/>
        <v>0.20719500627479034</v>
      </c>
      <c r="N90" s="39">
        <f t="shared" si="27"/>
        <v>1.9008350682061081E-2</v>
      </c>
      <c r="O90" s="11">
        <f>[1]world_population_Raw_Data!J83</f>
        <v>9842880</v>
      </c>
      <c r="P90" s="18">
        <f t="shared" si="28"/>
        <v>0.17734630347867431</v>
      </c>
      <c r="Q90" s="39">
        <f t="shared" si="29"/>
        <v>1.6460303369640661E-2</v>
      </c>
      <c r="R90" s="11">
        <f>[1]world_population_Raw_Data!I83</f>
        <v>10563757</v>
      </c>
      <c r="S90" s="18">
        <f t="shared" si="30"/>
        <v>7.3238422087844202E-2</v>
      </c>
      <c r="T90" s="39">
        <f t="shared" si="31"/>
        <v>1.423651560140593E-2</v>
      </c>
      <c r="U90" s="11">
        <f>[1]world_population_Raw_Data!H83</f>
        <v>11306801</v>
      </c>
      <c r="V90" s="18">
        <f t="shared" si="32"/>
        <v>7.033899019070583E-2</v>
      </c>
      <c r="W90" s="39">
        <f t="shared" si="33"/>
        <v>1.3687915659112093E-2</v>
      </c>
      <c r="X90" s="11">
        <f>[1]world_population_Raw_Data!G83</f>
        <v>11584996</v>
      </c>
      <c r="Y90" s="18">
        <f t="shared" si="20"/>
        <v>2.4604218293043274E-2</v>
      </c>
      <c r="Z90" s="39">
        <f t="shared" si="34"/>
        <v>1.22273550408738E-2</v>
      </c>
      <c r="AA90" s="19">
        <f t="shared" si="21"/>
        <v>1.4529539870156464E-3</v>
      </c>
      <c r="AB90" s="45">
        <f t="shared" si="35"/>
        <v>1.7580425205400818E-2</v>
      </c>
      <c r="AC90" s="81">
        <f t="shared" si="36"/>
        <v>13318209.445532529</v>
      </c>
      <c r="AD90" s="81"/>
    </row>
    <row r="91" spans="2:30">
      <c r="B91" s="8">
        <f>[1]world_population_Raw_Data!B84</f>
        <v>83</v>
      </c>
      <c r="C91" s="9" t="str">
        <f>[1]world_population_Raw_Data!D84</f>
        <v>Jordan</v>
      </c>
      <c r="D91" s="10" t="str">
        <f>[1]world_population_Raw_Data!F84</f>
        <v>Asia</v>
      </c>
      <c r="E91" s="11">
        <f>[1]world_population_Raw_Data!N84</f>
        <v>1557374</v>
      </c>
      <c r="F91" s="11">
        <f>[1]world_population_Raw_Data!M84</f>
        <v>2216903</v>
      </c>
      <c r="G91" s="18">
        <f t="shared" si="22"/>
        <v>0.42348787124993742</v>
      </c>
      <c r="H91" s="39">
        <f t="shared" si="23"/>
        <v>1.0359418477358224</v>
      </c>
      <c r="I91" s="11">
        <f>[1]world_population_Raw_Data!L84</f>
        <v>3480587</v>
      </c>
      <c r="J91" s="18">
        <f t="shared" si="24"/>
        <v>0.57002223371974325</v>
      </c>
      <c r="K91" s="39">
        <f t="shared" si="25"/>
        <v>1.0461418602349581</v>
      </c>
      <c r="L91" s="11">
        <f>[1]world_population_Raw_Data!K84</f>
        <v>5056174</v>
      </c>
      <c r="M91" s="18">
        <f t="shared" si="26"/>
        <v>0.45267852807586767</v>
      </c>
      <c r="N91" s="39">
        <f t="shared" si="27"/>
        <v>3.8046842431343819E-2</v>
      </c>
      <c r="O91" s="11">
        <f>[1]world_population_Raw_Data!J84</f>
        <v>6931258</v>
      </c>
      <c r="P91" s="18">
        <f t="shared" si="28"/>
        <v>0.37085037026020068</v>
      </c>
      <c r="Q91" s="39">
        <f t="shared" si="29"/>
        <v>3.2045882182195173E-2</v>
      </c>
      <c r="R91" s="11">
        <f>[1]world_population_Raw_Data!I84</f>
        <v>9494246</v>
      </c>
      <c r="S91" s="18">
        <f t="shared" si="30"/>
        <v>0.36977241360803481</v>
      </c>
      <c r="T91" s="39">
        <f t="shared" si="31"/>
        <v>6.4951140790809214E-2</v>
      </c>
      <c r="U91" s="11">
        <f>[1]world_population_Raw_Data!H84</f>
        <v>10928721</v>
      </c>
      <c r="V91" s="18">
        <f t="shared" si="32"/>
        <v>0.15108888057040021</v>
      </c>
      <c r="W91" s="39">
        <f t="shared" si="33"/>
        <v>2.8541386954477499E-2</v>
      </c>
      <c r="X91" s="11">
        <f>[1]world_population_Raw_Data!G84</f>
        <v>11285869</v>
      </c>
      <c r="Y91" s="18">
        <f t="shared" si="20"/>
        <v>3.2679761886134709E-2</v>
      </c>
      <c r="Z91" s="39">
        <f t="shared" si="34"/>
        <v>1.6208522836791861E-2</v>
      </c>
      <c r="AA91" s="19">
        <f t="shared" si="21"/>
        <v>1.4154384136590367E-3</v>
      </c>
      <c r="AB91" s="45">
        <f t="shared" si="35"/>
        <v>3.8822132683080657E-2</v>
      </c>
      <c r="AC91" s="81">
        <f t="shared" si="36"/>
        <v>15306100.354207352</v>
      </c>
      <c r="AD91" s="81"/>
    </row>
    <row r="92" spans="2:30">
      <c r="B92" s="8">
        <f>[1]world_population_Raw_Data!B85</f>
        <v>84</v>
      </c>
      <c r="C92" s="9" t="str">
        <f>[1]world_population_Raw_Data!D85</f>
        <v>Dominican Republic</v>
      </c>
      <c r="D92" s="10" t="str">
        <f>[1]world_population_Raw_Data!F85</f>
        <v>North America</v>
      </c>
      <c r="E92" s="11">
        <f>[1]world_population_Raw_Data!N85</f>
        <v>4475871</v>
      </c>
      <c r="F92" s="11">
        <f>[1]world_population_Raw_Data!M85</f>
        <v>5755800</v>
      </c>
      <c r="G92" s="18">
        <f t="shared" si="22"/>
        <v>0.28596199488323054</v>
      </c>
      <c r="H92" s="39">
        <f t="shared" si="23"/>
        <v>1.025469654581888</v>
      </c>
      <c r="I92" s="11">
        <f>[1]world_population_Raw_Data!L85</f>
        <v>7129004</v>
      </c>
      <c r="J92" s="18">
        <f t="shared" si="24"/>
        <v>0.23857743493519581</v>
      </c>
      <c r="K92" s="39">
        <f t="shared" si="25"/>
        <v>1.0216268923181477</v>
      </c>
      <c r="L92" s="11">
        <f>[1]world_population_Raw_Data!K85</f>
        <v>8540791</v>
      </c>
      <c r="M92" s="18">
        <f t="shared" si="26"/>
        <v>0.19803425555659668</v>
      </c>
      <c r="N92" s="39">
        <f t="shared" si="27"/>
        <v>1.8232426966514614E-2</v>
      </c>
      <c r="O92" s="11">
        <f>[1]world_population_Raw_Data!J85</f>
        <v>9775755</v>
      </c>
      <c r="P92" s="18">
        <f t="shared" si="28"/>
        <v>0.14459597477563846</v>
      </c>
      <c r="Q92" s="39">
        <f t="shared" si="29"/>
        <v>1.3596778179244096E-2</v>
      </c>
      <c r="R92" s="11">
        <f>[1]world_population_Raw_Data!I85</f>
        <v>10405832</v>
      </c>
      <c r="S92" s="18">
        <f t="shared" si="30"/>
        <v>6.4453026901758484E-2</v>
      </c>
      <c r="T92" s="39">
        <f t="shared" si="31"/>
        <v>1.2570569147348332E-2</v>
      </c>
      <c r="U92" s="11">
        <f>[1]world_population_Raw_Data!H85</f>
        <v>10999664</v>
      </c>
      <c r="V92" s="18">
        <f t="shared" si="32"/>
        <v>5.7067229222997257E-2</v>
      </c>
      <c r="W92" s="39">
        <f t="shared" si="33"/>
        <v>1.1161491531131995E-2</v>
      </c>
      <c r="X92" s="11">
        <f>[1]world_population_Raw_Data!G85</f>
        <v>11228821</v>
      </c>
      <c r="Y92" s="18">
        <f t="shared" si="20"/>
        <v>2.0833090901685725E-2</v>
      </c>
      <c r="Z92" s="39">
        <f t="shared" si="34"/>
        <v>1.0362851109286142E-2</v>
      </c>
      <c r="AA92" s="19">
        <f t="shared" si="21"/>
        <v>1.408283631814376E-3</v>
      </c>
      <c r="AB92" s="45">
        <f t="shared" si="35"/>
        <v>1.7845492330681445E-2</v>
      </c>
      <c r="AC92" s="81">
        <f t="shared" si="36"/>
        <v>12935672.743289547</v>
      </c>
      <c r="AD92" s="81"/>
    </row>
    <row r="93" spans="2:30">
      <c r="B93" s="8">
        <f>[1]world_population_Raw_Data!B86</f>
        <v>85</v>
      </c>
      <c r="C93" s="9" t="str">
        <f>[1]world_population_Raw_Data!D86</f>
        <v>Cuba</v>
      </c>
      <c r="D93" s="10" t="str">
        <f>[1]world_population_Raw_Data!F86</f>
        <v>North America</v>
      </c>
      <c r="E93" s="11">
        <f>[1]world_population_Raw_Data!N86</f>
        <v>8869636</v>
      </c>
      <c r="F93" s="11">
        <f>[1]world_population_Raw_Data!M86</f>
        <v>9809107</v>
      </c>
      <c r="G93" s="18">
        <f t="shared" si="22"/>
        <v>0.10591990471762314</v>
      </c>
      <c r="H93" s="39">
        <f t="shared" si="23"/>
        <v>1.0101185984421934</v>
      </c>
      <c r="I93" s="11">
        <f>[1]world_population_Raw_Data!L86</f>
        <v>10626680</v>
      </c>
      <c r="J93" s="18">
        <f t="shared" si="24"/>
        <v>8.3348361884522215E-2</v>
      </c>
      <c r="K93" s="39">
        <f t="shared" si="25"/>
        <v>1.0080377889746279</v>
      </c>
      <c r="L93" s="11">
        <f>[1]world_population_Raw_Data!K86</f>
        <v>11105791</v>
      </c>
      <c r="M93" s="18">
        <f t="shared" si="26"/>
        <v>4.508567115976015E-2</v>
      </c>
      <c r="N93" s="39">
        <f t="shared" si="27"/>
        <v>4.4196242608132152E-3</v>
      </c>
      <c r="O93" s="11">
        <f>[1]world_population_Raw_Data!J86</f>
        <v>11290417</v>
      </c>
      <c r="P93" s="18">
        <f t="shared" si="28"/>
        <v>1.6624299881026035E-2</v>
      </c>
      <c r="Q93" s="39">
        <f t="shared" si="29"/>
        <v>1.6501228403085211E-3</v>
      </c>
      <c r="R93" s="11">
        <f>[1]world_population_Raw_Data!I86</f>
        <v>11339894</v>
      </c>
      <c r="S93" s="18">
        <f t="shared" si="30"/>
        <v>4.3822119236162846E-3</v>
      </c>
      <c r="T93" s="39">
        <f t="shared" si="31"/>
        <v>8.7491010930773605E-4</v>
      </c>
      <c r="U93" s="11">
        <f>[1]world_population_Raw_Data!H86</f>
        <v>11300698</v>
      </c>
      <c r="V93" s="18">
        <f t="shared" si="32"/>
        <v>-3.4564696989231114E-3</v>
      </c>
      <c r="W93" s="39">
        <f t="shared" si="33"/>
        <v>-6.9225170137909853E-4</v>
      </c>
      <c r="X93" s="11">
        <f>[1]world_population_Raw_Data!G86</f>
        <v>11212191</v>
      </c>
      <c r="Y93" s="18">
        <f t="shared" si="20"/>
        <v>-7.8319940945240727E-3</v>
      </c>
      <c r="Z93" s="39">
        <f t="shared" si="34"/>
        <v>-3.9236947374584608E-3</v>
      </c>
      <c r="AA93" s="19">
        <f t="shared" si="21"/>
        <v>1.4061979491948851E-3</v>
      </c>
      <c r="AB93" s="45">
        <f t="shared" si="35"/>
        <v>4.5172473360501897E-3</v>
      </c>
      <c r="AC93" s="81">
        <f t="shared" si="36"/>
        <v>11623841.261161704</v>
      </c>
      <c r="AD93" s="81"/>
    </row>
    <row r="94" spans="2:30">
      <c r="B94" s="8">
        <f>[1]world_population_Raw_Data!B87</f>
        <v>86</v>
      </c>
      <c r="C94" s="9" t="str">
        <f>[1]world_population_Raw_Data!D87</f>
        <v>South Sudan</v>
      </c>
      <c r="D94" s="10" t="str">
        <f>[1]world_population_Raw_Data!F87</f>
        <v>Africa</v>
      </c>
      <c r="E94" s="11">
        <f>[1]world_population_Raw_Data!N87</f>
        <v>3342410</v>
      </c>
      <c r="F94" s="11">
        <f>[1]world_population_Raw_Data!M87</f>
        <v>4192011</v>
      </c>
      <c r="G94" s="18">
        <f t="shared" si="22"/>
        <v>0.25418814567931525</v>
      </c>
      <c r="H94" s="39">
        <f t="shared" si="23"/>
        <v>1.0229072792457001</v>
      </c>
      <c r="I94" s="11">
        <f>[1]world_population_Raw_Data!L87</f>
        <v>4750817</v>
      </c>
      <c r="J94" s="18">
        <f t="shared" si="24"/>
        <v>0.13330260822311774</v>
      </c>
      <c r="K94" s="39">
        <f t="shared" si="25"/>
        <v>1.0125922259612745</v>
      </c>
      <c r="L94" s="11">
        <f>[1]world_population_Raw_Data!K87</f>
        <v>6114440</v>
      </c>
      <c r="M94" s="18">
        <f t="shared" si="26"/>
        <v>0.28702915730073375</v>
      </c>
      <c r="N94" s="39">
        <f t="shared" si="27"/>
        <v>2.5554721965599381E-2</v>
      </c>
      <c r="O94" s="11">
        <f>[1]world_population_Raw_Data!J87</f>
        <v>9714419</v>
      </c>
      <c r="P94" s="18">
        <f t="shared" si="28"/>
        <v>0.58876675541832124</v>
      </c>
      <c r="Q94" s="39">
        <f t="shared" si="29"/>
        <v>4.7384190781383229E-2</v>
      </c>
      <c r="R94" s="11">
        <f>[1]world_population_Raw_Data!I87</f>
        <v>11194299</v>
      </c>
      <c r="S94" s="18">
        <f t="shared" si="30"/>
        <v>0.15233849806148983</v>
      </c>
      <c r="T94" s="39">
        <f t="shared" si="31"/>
        <v>2.8764606129473069E-2</v>
      </c>
      <c r="U94" s="11">
        <f>[1]world_population_Raw_Data!H87</f>
        <v>10606227</v>
      </c>
      <c r="V94" s="18">
        <f t="shared" si="32"/>
        <v>-5.2533168892487152E-2</v>
      </c>
      <c r="W94" s="39">
        <f t="shared" si="33"/>
        <v>-1.0734637976144379E-2</v>
      </c>
      <c r="X94" s="11">
        <f>[1]world_population_Raw_Data!G87</f>
        <v>10913164</v>
      </c>
      <c r="Y94" s="18">
        <f t="shared" si="20"/>
        <v>2.893932026912115E-2</v>
      </c>
      <c r="Z94" s="39">
        <f t="shared" si="34"/>
        <v>1.4366462512006128E-2</v>
      </c>
      <c r="AA94" s="19">
        <f t="shared" si="21"/>
        <v>1.3686949175257049E-3</v>
      </c>
      <c r="AB94" s="45">
        <f t="shared" si="35"/>
        <v>2.3016217449991272E-2</v>
      </c>
      <c r="AC94" s="81">
        <f t="shared" si="36"/>
        <v>13092145.685397675</v>
      </c>
      <c r="AD94" s="81"/>
    </row>
    <row r="95" spans="2:30">
      <c r="B95" s="8">
        <f>[1]world_population_Raw_Data!B88</f>
        <v>87</v>
      </c>
      <c r="C95" s="9" t="str">
        <f>[1]world_population_Raw_Data!D88</f>
        <v>Sweden</v>
      </c>
      <c r="D95" s="10" t="str">
        <f>[1]world_population_Raw_Data!F88</f>
        <v>Europe</v>
      </c>
      <c r="E95" s="11">
        <f>[1]world_population_Raw_Data!N88</f>
        <v>8027702</v>
      </c>
      <c r="F95" s="11">
        <f>[1]world_population_Raw_Data!M88</f>
        <v>8311763</v>
      </c>
      <c r="G95" s="18">
        <f t="shared" si="22"/>
        <v>3.5385095261383642E-2</v>
      </c>
      <c r="H95" s="39">
        <f t="shared" si="23"/>
        <v>1.0034833959944784</v>
      </c>
      <c r="I95" s="11">
        <f>[1]world_population_Raw_Data!L88</f>
        <v>8548406</v>
      </c>
      <c r="J95" s="18">
        <f t="shared" si="24"/>
        <v>2.84708551001755E-2</v>
      </c>
      <c r="K95" s="39">
        <f t="shared" si="25"/>
        <v>1.0028112534247964</v>
      </c>
      <c r="L95" s="11">
        <f>[1]world_population_Raw_Data!K88</f>
        <v>8871043</v>
      </c>
      <c r="M95" s="18">
        <f t="shared" si="26"/>
        <v>3.774235804897428E-2</v>
      </c>
      <c r="N95" s="39">
        <f t="shared" si="27"/>
        <v>3.7116254814173466E-3</v>
      </c>
      <c r="O95" s="11">
        <f>[1]world_population_Raw_Data!J88</f>
        <v>9381729</v>
      </c>
      <c r="P95" s="18">
        <f t="shared" si="28"/>
        <v>5.7567751616129016E-2</v>
      </c>
      <c r="Q95" s="39">
        <f t="shared" si="29"/>
        <v>5.6128631813989749E-3</v>
      </c>
      <c r="R95" s="11">
        <f>[1]world_population_Raw_Data!I88</f>
        <v>9849349</v>
      </c>
      <c r="S95" s="18">
        <f t="shared" si="30"/>
        <v>4.9843690859115629E-2</v>
      </c>
      <c r="T95" s="39">
        <f t="shared" si="31"/>
        <v>9.7757307636872071E-3</v>
      </c>
      <c r="U95" s="11">
        <f>[1]world_population_Raw_Data!H88</f>
        <v>10368969</v>
      </c>
      <c r="V95" s="18">
        <f t="shared" si="32"/>
        <v>5.2756786260696013E-2</v>
      </c>
      <c r="W95" s="39">
        <f t="shared" si="33"/>
        <v>1.0335492867330931E-2</v>
      </c>
      <c r="X95" s="11">
        <f>[1]world_population_Raw_Data!G88</f>
        <v>10549347</v>
      </c>
      <c r="Y95" s="18">
        <f t="shared" si="20"/>
        <v>1.7395943608279667E-2</v>
      </c>
      <c r="Z95" s="39">
        <f t="shared" si="34"/>
        <v>8.6604699343975078E-3</v>
      </c>
      <c r="AA95" s="19">
        <f t="shared" si="21"/>
        <v>1.3230661265710879E-3</v>
      </c>
      <c r="AB95" s="45">
        <f t="shared" si="35"/>
        <v>5.2670077898773204E-3</v>
      </c>
      <c r="AC95" s="81">
        <f t="shared" si="36"/>
        <v>11002136.125926141</v>
      </c>
      <c r="AD95" s="81"/>
    </row>
    <row r="96" spans="2:30">
      <c r="B96" s="8">
        <f>[1]world_population_Raw_Data!B89</f>
        <v>88</v>
      </c>
      <c r="C96" s="9" t="str">
        <f>[1]world_population_Raw_Data!D89</f>
        <v>Czech Republic</v>
      </c>
      <c r="D96" s="10" t="str">
        <f>[1]world_population_Raw_Data!F89</f>
        <v>Europe</v>
      </c>
      <c r="E96" s="11">
        <f>[1]world_population_Raw_Data!N89</f>
        <v>9795744</v>
      </c>
      <c r="F96" s="11">
        <f>[1]world_population_Raw_Data!M89</f>
        <v>10270060</v>
      </c>
      <c r="G96" s="18">
        <f t="shared" si="22"/>
        <v>4.8420620220373259E-2</v>
      </c>
      <c r="H96" s="39">
        <f t="shared" si="23"/>
        <v>1.0047396829863595</v>
      </c>
      <c r="I96" s="11">
        <f>[1]world_population_Raw_Data!L89</f>
        <v>10301192</v>
      </c>
      <c r="J96" s="18">
        <f t="shared" si="24"/>
        <v>3.0313357468213426E-3</v>
      </c>
      <c r="K96" s="39">
        <f t="shared" si="25"/>
        <v>1.0003027208619686</v>
      </c>
      <c r="L96" s="11">
        <f>[1]world_population_Raw_Data!K89</f>
        <v>10234710</v>
      </c>
      <c r="M96" s="18">
        <f t="shared" si="26"/>
        <v>-6.4538162185502415E-3</v>
      </c>
      <c r="N96" s="39">
        <f t="shared" si="27"/>
        <v>-6.4726364751532817E-4</v>
      </c>
      <c r="O96" s="11">
        <f>[1]world_population_Raw_Data!J89</f>
        <v>10464749</v>
      </c>
      <c r="P96" s="18">
        <f t="shared" si="28"/>
        <v>2.2476357415109956E-2</v>
      </c>
      <c r="Q96" s="39">
        <f t="shared" si="29"/>
        <v>2.2252207705593108E-3</v>
      </c>
      <c r="R96" s="11">
        <f>[1]world_population_Raw_Data!I89</f>
        <v>10523798</v>
      </c>
      <c r="S96" s="18">
        <f t="shared" si="30"/>
        <v>5.642658032218451E-3</v>
      </c>
      <c r="T96" s="39">
        <f t="shared" si="31"/>
        <v>1.1259930290292708E-3</v>
      </c>
      <c r="U96" s="11">
        <f>[1]world_population_Raw_Data!H89</f>
        <v>10530953</v>
      </c>
      <c r="V96" s="18">
        <f t="shared" si="32"/>
        <v>6.7988762232038284E-4</v>
      </c>
      <c r="W96" s="39">
        <f t="shared" si="33"/>
        <v>1.3594055976784425E-4</v>
      </c>
      <c r="X96" s="11">
        <f>[1]world_population_Raw_Data!G89</f>
        <v>10493986</v>
      </c>
      <c r="Y96" s="18">
        <f t="shared" si="20"/>
        <v>-3.5103185818035651E-3</v>
      </c>
      <c r="Z96" s="39">
        <f t="shared" si="34"/>
        <v>-1.7567022923737907E-3</v>
      </c>
      <c r="AA96" s="19">
        <f t="shared" si="21"/>
        <v>1.3161229229933593E-3</v>
      </c>
      <c r="AB96" s="45">
        <f t="shared" si="35"/>
        <v>1.324998681028644E-3</v>
      </c>
      <c r="AC96" s="81">
        <f t="shared" si="36"/>
        <v>10605739.367246088</v>
      </c>
      <c r="AD96" s="81"/>
    </row>
    <row r="97" spans="2:30">
      <c r="B97" s="8">
        <f>[1]world_population_Raw_Data!B90</f>
        <v>89</v>
      </c>
      <c r="C97" s="9" t="str">
        <f>[1]world_population_Raw_Data!D90</f>
        <v>Honduras</v>
      </c>
      <c r="D97" s="10" t="str">
        <f>[1]world_population_Raw_Data!F90</f>
        <v>North America</v>
      </c>
      <c r="E97" s="11">
        <f>[1]world_population_Raw_Data!N90</f>
        <v>2782753</v>
      </c>
      <c r="F97" s="11">
        <f>[1]world_population_Raw_Data!M90</f>
        <v>3777990</v>
      </c>
      <c r="G97" s="18">
        <f t="shared" si="22"/>
        <v>0.35764474964181153</v>
      </c>
      <c r="H97" s="39">
        <f t="shared" si="23"/>
        <v>1.0310473596978031</v>
      </c>
      <c r="I97" s="11">
        <f>[1]world_population_Raw_Data!L90</f>
        <v>5053234</v>
      </c>
      <c r="J97" s="18">
        <f t="shared" si="24"/>
        <v>0.33754562611335659</v>
      </c>
      <c r="K97" s="39">
        <f t="shared" si="25"/>
        <v>1.029510690108735</v>
      </c>
      <c r="L97" s="11">
        <f>[1]world_population_Raw_Data!K90</f>
        <v>6656725</v>
      </c>
      <c r="M97" s="18">
        <f t="shared" si="26"/>
        <v>0.31731975997945078</v>
      </c>
      <c r="N97" s="39">
        <f t="shared" si="27"/>
        <v>2.7943206334518855E-2</v>
      </c>
      <c r="O97" s="11">
        <f>[1]world_population_Raw_Data!J90</f>
        <v>8450933</v>
      </c>
      <c r="P97" s="18">
        <f t="shared" si="28"/>
        <v>0.2695331412969591</v>
      </c>
      <c r="Q97" s="39">
        <f t="shared" si="29"/>
        <v>2.4151968926565903E-2</v>
      </c>
      <c r="R97" s="11">
        <f>[1]world_population_Raw_Data!I90</f>
        <v>9294505</v>
      </c>
      <c r="S97" s="18">
        <f t="shared" si="30"/>
        <v>9.981998437332304E-2</v>
      </c>
      <c r="T97" s="39">
        <f t="shared" si="31"/>
        <v>1.9211514306547217E-2</v>
      </c>
      <c r="U97" s="11">
        <f>[1]world_population_Raw_Data!H90</f>
        <v>10121763</v>
      </c>
      <c r="V97" s="18">
        <f t="shared" si="32"/>
        <v>8.9005062668748899E-2</v>
      </c>
      <c r="W97" s="39">
        <f t="shared" si="33"/>
        <v>1.7199129282496228E-2</v>
      </c>
      <c r="X97" s="11">
        <f>[1]world_population_Raw_Data!G90</f>
        <v>10432860</v>
      </c>
      <c r="Y97" s="18">
        <f t="shared" si="20"/>
        <v>3.0735455868705876E-2</v>
      </c>
      <c r="Z97" s="39">
        <f t="shared" si="34"/>
        <v>1.5251424952807291E-2</v>
      </c>
      <c r="AA97" s="19">
        <f t="shared" si="21"/>
        <v>1.3084566911353321E-3</v>
      </c>
      <c r="AB97" s="45">
        <f t="shared" si="35"/>
        <v>2.5739525435496402E-2</v>
      </c>
      <c r="AC97" s="81">
        <f t="shared" si="36"/>
        <v>12784981.552210493</v>
      </c>
      <c r="AD97" s="81"/>
    </row>
    <row r="98" spans="2:30">
      <c r="B98" s="8">
        <f>[1]world_population_Raw_Data!B91</f>
        <v>90</v>
      </c>
      <c r="C98" s="9" t="str">
        <f>[1]world_population_Raw_Data!D91</f>
        <v>Greece</v>
      </c>
      <c r="D98" s="10" t="str">
        <f>[1]world_population_Raw_Data!F91</f>
        <v>Europe</v>
      </c>
      <c r="E98" s="11">
        <f>[1]world_population_Raw_Data!N91</f>
        <v>8544873</v>
      </c>
      <c r="F98" s="11">
        <f>[1]world_population_Raw_Data!M91</f>
        <v>9307148</v>
      </c>
      <c r="G98" s="18">
        <f t="shared" si="22"/>
        <v>8.9208464537740936E-2</v>
      </c>
      <c r="H98" s="39">
        <f t="shared" si="23"/>
        <v>1.008581739111023</v>
      </c>
      <c r="I98" s="11">
        <f>[1]world_population_Raw_Data!L91</f>
        <v>10302255</v>
      </c>
      <c r="J98" s="18">
        <f t="shared" si="24"/>
        <v>0.10691857484161636</v>
      </c>
      <c r="K98" s="39">
        <f t="shared" si="25"/>
        <v>1.0102097773395147</v>
      </c>
      <c r="L98" s="11">
        <f>[1]world_population_Raw_Data!K91</f>
        <v>11038109</v>
      </c>
      <c r="M98" s="18">
        <f t="shared" si="26"/>
        <v>7.142649837341436E-2</v>
      </c>
      <c r="N98" s="39">
        <f t="shared" si="27"/>
        <v>6.9229472345024856E-3</v>
      </c>
      <c r="O98" s="11">
        <f>[1]world_population_Raw_Data!J91</f>
        <v>11033783</v>
      </c>
      <c r="P98" s="18">
        <f t="shared" si="28"/>
        <v>-3.9191495572294131E-4</v>
      </c>
      <c r="Q98" s="39">
        <f t="shared" si="29"/>
        <v>-3.9198409168328396E-5</v>
      </c>
      <c r="R98" s="11">
        <f>[1]world_population_Raw_Data!I91</f>
        <v>10806641</v>
      </c>
      <c r="S98" s="18">
        <f t="shared" si="30"/>
        <v>-2.0586049227178022E-2</v>
      </c>
      <c r="T98" s="39">
        <f t="shared" si="31"/>
        <v>-4.151537564854979E-3</v>
      </c>
      <c r="U98" s="11">
        <f>[1]world_population_Raw_Data!H91</f>
        <v>10512232</v>
      </c>
      <c r="V98" s="18">
        <f t="shared" si="32"/>
        <v>-2.7243340460740763E-2</v>
      </c>
      <c r="W98" s="39">
        <f t="shared" si="33"/>
        <v>-5.5090335206063878E-3</v>
      </c>
      <c r="X98" s="11">
        <f>[1]world_population_Raw_Data!G91</f>
        <v>10384971</v>
      </c>
      <c r="Y98" s="18">
        <f t="shared" si="20"/>
        <v>-1.2105992333502532E-2</v>
      </c>
      <c r="Z98" s="39">
        <f t="shared" si="34"/>
        <v>-6.0714272813676695E-3</v>
      </c>
      <c r="AA98" s="19">
        <f t="shared" si="21"/>
        <v>1.3024506024423197E-3</v>
      </c>
      <c r="AB98" s="45">
        <f t="shared" si="35"/>
        <v>3.7575846024553439E-3</v>
      </c>
      <c r="AC98" s="81">
        <f t="shared" si="36"/>
        <v>10701286.896843428</v>
      </c>
      <c r="AD98" s="81"/>
    </row>
    <row r="99" spans="2:30">
      <c r="B99" s="8">
        <f>[1]world_population_Raw_Data!B92</f>
        <v>91</v>
      </c>
      <c r="C99" s="9" t="str">
        <f>[1]world_population_Raw_Data!D92</f>
        <v>Azerbaijan</v>
      </c>
      <c r="D99" s="10" t="str">
        <f>[1]world_population_Raw_Data!F92</f>
        <v>Asia</v>
      </c>
      <c r="E99" s="11">
        <f>[1]world_population_Raw_Data!N92</f>
        <v>5425317</v>
      </c>
      <c r="F99" s="11">
        <f>[1]world_population_Raw_Data!M92</f>
        <v>6383060</v>
      </c>
      <c r="G99" s="18">
        <f t="shared" si="22"/>
        <v>0.17653217314306244</v>
      </c>
      <c r="H99" s="39">
        <f t="shared" si="23"/>
        <v>1.0163899936583987</v>
      </c>
      <c r="I99" s="11">
        <f>[1]world_population_Raw_Data!L92</f>
        <v>7427836</v>
      </c>
      <c r="J99" s="18">
        <f t="shared" si="24"/>
        <v>0.1636794891478382</v>
      </c>
      <c r="K99" s="39">
        <f t="shared" si="25"/>
        <v>1.0152741716221001</v>
      </c>
      <c r="L99" s="11">
        <f>[1]world_population_Raw_Data!K92</f>
        <v>8190337</v>
      </c>
      <c r="M99" s="18">
        <f t="shared" si="26"/>
        <v>0.10265452818290549</v>
      </c>
      <c r="N99" s="39">
        <f t="shared" si="27"/>
        <v>9.8199503822189449E-3</v>
      </c>
      <c r="O99" s="11">
        <f>[1]world_population_Raw_Data!J92</f>
        <v>9237202</v>
      </c>
      <c r="P99" s="18">
        <f t="shared" si="28"/>
        <v>0.12781708493801902</v>
      </c>
      <c r="Q99" s="39">
        <f t="shared" si="29"/>
        <v>1.2101030222847031E-2</v>
      </c>
      <c r="R99" s="11">
        <f>[1]world_population_Raw_Data!I92</f>
        <v>9863480</v>
      </c>
      <c r="S99" s="18">
        <f t="shared" si="30"/>
        <v>6.7799534967406802E-2</v>
      </c>
      <c r="T99" s="39">
        <f t="shared" si="31"/>
        <v>1.3206449211094817E-2</v>
      </c>
      <c r="U99" s="11">
        <f>[1]world_population_Raw_Data!H92</f>
        <v>10284951</v>
      </c>
      <c r="V99" s="18">
        <f t="shared" si="32"/>
        <v>4.2730456187876895E-2</v>
      </c>
      <c r="W99" s="39">
        <f t="shared" si="33"/>
        <v>8.4036564032679006E-3</v>
      </c>
      <c r="X99" s="11">
        <f>[1]world_population_Raw_Data!G92</f>
        <v>10358074</v>
      </c>
      <c r="Y99" s="18">
        <f t="shared" si="20"/>
        <v>7.1097081551482356E-3</v>
      </c>
      <c r="Z99" s="39">
        <f t="shared" si="34"/>
        <v>3.548557945826758E-3</v>
      </c>
      <c r="AA99" s="19">
        <f t="shared" si="21"/>
        <v>1.2990772647744639E-3</v>
      </c>
      <c r="AB99" s="45">
        <f t="shared" si="35"/>
        <v>1.2513998715152352E-2</v>
      </c>
      <c r="AC99" s="81">
        <f t="shared" si="36"/>
        <v>11441614.213410061</v>
      </c>
      <c r="AD99" s="81"/>
    </row>
    <row r="100" spans="2:30">
      <c r="B100" s="8">
        <f>[1]world_population_Raw_Data!B93</f>
        <v>92</v>
      </c>
      <c r="C100" s="9" t="str">
        <f>[1]world_population_Raw_Data!D93</f>
        <v>Portugal</v>
      </c>
      <c r="D100" s="10" t="str">
        <f>[1]world_population_Raw_Data!F93</f>
        <v>Europe</v>
      </c>
      <c r="E100" s="11">
        <f>[1]world_population_Raw_Data!N93</f>
        <v>8683631</v>
      </c>
      <c r="F100" s="11">
        <f>[1]world_population_Raw_Data!M93</f>
        <v>9785252</v>
      </c>
      <c r="G100" s="18">
        <f t="shared" si="22"/>
        <v>0.12686179318305901</v>
      </c>
      <c r="H100" s="39">
        <f t="shared" si="23"/>
        <v>1.0120152698183025</v>
      </c>
      <c r="I100" s="11">
        <f>[1]world_population_Raw_Data!L93</f>
        <v>10007346</v>
      </c>
      <c r="J100" s="18">
        <f t="shared" si="24"/>
        <v>2.2696809443435897E-2</v>
      </c>
      <c r="K100" s="39">
        <f t="shared" si="25"/>
        <v>1.0022468272505174</v>
      </c>
      <c r="L100" s="11">
        <f>[1]world_population_Raw_Data!K93</f>
        <v>10300626</v>
      </c>
      <c r="M100" s="18">
        <f t="shared" si="26"/>
        <v>2.9306471466061031E-2</v>
      </c>
      <c r="N100" s="39">
        <f t="shared" si="27"/>
        <v>2.8927004851062588E-3</v>
      </c>
      <c r="O100" s="11">
        <f>[1]world_population_Raw_Data!J93</f>
        <v>10588401</v>
      </c>
      <c r="P100" s="18">
        <f t="shared" si="28"/>
        <v>2.7937622431879382E-2</v>
      </c>
      <c r="Q100" s="39">
        <f t="shared" si="29"/>
        <v>2.7592484002325612E-3</v>
      </c>
      <c r="R100" s="11">
        <f>[1]world_population_Raw_Data!I93</f>
        <v>10365435</v>
      </c>
      <c r="S100" s="18">
        <f t="shared" si="30"/>
        <v>-2.1057570449022473E-2</v>
      </c>
      <c r="T100" s="39">
        <f t="shared" si="31"/>
        <v>-4.2474426997025638E-3</v>
      </c>
      <c r="U100" s="11">
        <f>[1]world_population_Raw_Data!H93</f>
        <v>10298192</v>
      </c>
      <c r="V100" s="18">
        <f t="shared" si="32"/>
        <v>-6.4872337726298995E-3</v>
      </c>
      <c r="W100" s="39">
        <f t="shared" si="33"/>
        <v>-1.3008266549735525E-3</v>
      </c>
      <c r="X100" s="11">
        <f>[1]world_population_Raw_Data!G93</f>
        <v>10270865</v>
      </c>
      <c r="Y100" s="18">
        <f t="shared" si="20"/>
        <v>-2.6535725882756898E-3</v>
      </c>
      <c r="Z100" s="39">
        <f t="shared" si="34"/>
        <v>-1.3276676448253921E-3</v>
      </c>
      <c r="AA100" s="19">
        <f t="shared" si="21"/>
        <v>1.2881397845842552E-3</v>
      </c>
      <c r="AB100" s="45">
        <f t="shared" si="35"/>
        <v>3.2335143947055389E-3</v>
      </c>
      <c r="AC100" s="81">
        <f t="shared" si="36"/>
        <v>10539579.312886095</v>
      </c>
      <c r="AD100" s="81"/>
    </row>
    <row r="101" spans="2:30">
      <c r="B101" s="8">
        <f>[1]world_population_Raw_Data!B94</f>
        <v>93</v>
      </c>
      <c r="C101" s="9" t="str">
        <f>[1]world_population_Raw_Data!D94</f>
        <v>Papua New Guinea</v>
      </c>
      <c r="D101" s="10" t="str">
        <f>[1]world_population_Raw_Data!F94</f>
        <v>Oceania</v>
      </c>
      <c r="E101" s="11">
        <f>[1]world_population_Raw_Data!N94</f>
        <v>2489059</v>
      </c>
      <c r="F101" s="11">
        <f>[1]world_population_Raw_Data!M94</f>
        <v>3104788</v>
      </c>
      <c r="G101" s="18">
        <f t="shared" si="22"/>
        <v>0.24737420848601821</v>
      </c>
      <c r="H101" s="39">
        <f t="shared" si="23"/>
        <v>1.0223501758042564</v>
      </c>
      <c r="I101" s="11">
        <f>[1]world_population_Raw_Data!L94</f>
        <v>3864972</v>
      </c>
      <c r="J101" s="18">
        <f t="shared" si="24"/>
        <v>0.24484248199877093</v>
      </c>
      <c r="K101" s="39">
        <f t="shared" si="25"/>
        <v>1.0221424852769638</v>
      </c>
      <c r="L101" s="11">
        <f>[1]world_population_Raw_Data!K94</f>
        <v>5508297</v>
      </c>
      <c r="M101" s="18">
        <f t="shared" si="26"/>
        <v>0.42518419279622205</v>
      </c>
      <c r="N101" s="39">
        <f t="shared" si="27"/>
        <v>3.6065231213609161E-2</v>
      </c>
      <c r="O101" s="11">
        <f>[1]world_population_Raw_Data!J94</f>
        <v>7583269</v>
      </c>
      <c r="P101" s="18">
        <f t="shared" si="28"/>
        <v>0.37669936824394185</v>
      </c>
      <c r="Q101" s="39">
        <f t="shared" si="29"/>
        <v>3.2485381314355743E-2</v>
      </c>
      <c r="R101" s="11">
        <f>[1]world_population_Raw_Data!I94</f>
        <v>8682174</v>
      </c>
      <c r="S101" s="18">
        <f t="shared" si="30"/>
        <v>0.14491177881201367</v>
      </c>
      <c r="T101" s="39">
        <f t="shared" si="31"/>
        <v>2.7435115017715894E-2</v>
      </c>
      <c r="U101" s="11">
        <f>[1]world_population_Raw_Data!H94</f>
        <v>9749640</v>
      </c>
      <c r="V101" s="18">
        <f t="shared" si="32"/>
        <v>0.12294915996845951</v>
      </c>
      <c r="W101" s="39">
        <f t="shared" si="33"/>
        <v>2.3462698713239138E-2</v>
      </c>
      <c r="X101" s="11">
        <f>[1]world_population_Raw_Data!G94</f>
        <v>10142619</v>
      </c>
      <c r="Y101" s="18">
        <f t="shared" si="20"/>
        <v>4.030702672098662E-2</v>
      </c>
      <c r="Z101" s="39">
        <f t="shared" si="34"/>
        <v>1.9954423845000457E-2</v>
      </c>
      <c r="AA101" s="19">
        <f t="shared" si="21"/>
        <v>1.2720555721236889E-3</v>
      </c>
      <c r="AB101" s="45">
        <f t="shared" si="35"/>
        <v>2.7384428898526547E-2</v>
      </c>
      <c r="AC101" s="81">
        <f t="shared" si="36"/>
        <v>12589658.382750686</v>
      </c>
      <c r="AD101" s="81"/>
    </row>
    <row r="102" spans="2:30">
      <c r="B102" s="8">
        <f>[1]world_population_Raw_Data!B95</f>
        <v>94</v>
      </c>
      <c r="C102" s="9" t="str">
        <f>[1]world_population_Raw_Data!D95</f>
        <v>Hungary</v>
      </c>
      <c r="D102" s="10" t="str">
        <f>[1]world_population_Raw_Data!F95</f>
        <v>Europe</v>
      </c>
      <c r="E102" s="11">
        <f>[1]world_population_Raw_Data!N95</f>
        <v>10315366</v>
      </c>
      <c r="F102" s="11">
        <f>[1]world_population_Raw_Data!M95</f>
        <v>10698679</v>
      </c>
      <c r="G102" s="18">
        <f t="shared" si="22"/>
        <v>3.7159418289181401E-2</v>
      </c>
      <c r="H102" s="39">
        <f t="shared" si="23"/>
        <v>1.0036552288849265</v>
      </c>
      <c r="I102" s="11">
        <f>[1]world_population_Raw_Data!L95</f>
        <v>10375989</v>
      </c>
      <c r="J102" s="18">
        <f t="shared" si="24"/>
        <v>-3.0161667622703701E-2</v>
      </c>
      <c r="K102" s="39">
        <f t="shared" si="25"/>
        <v>0.99694209603873229</v>
      </c>
      <c r="L102" s="11">
        <f>[1]world_population_Raw_Data!K95</f>
        <v>10202055</v>
      </c>
      <c r="M102" s="18">
        <f t="shared" si="26"/>
        <v>-1.6763124941632068E-2</v>
      </c>
      <c r="N102" s="39">
        <f t="shared" si="27"/>
        <v>-1.6890935020654751E-3</v>
      </c>
      <c r="O102" s="11">
        <f>[1]world_population_Raw_Data!J95</f>
        <v>9986825</v>
      </c>
      <c r="P102" s="18">
        <f t="shared" si="28"/>
        <v>-2.1096730021549579E-2</v>
      </c>
      <c r="Q102" s="39">
        <f t="shared" si="29"/>
        <v>-2.1299730070765133E-3</v>
      </c>
      <c r="R102" s="11">
        <f>[1]world_population_Raw_Data!I95</f>
        <v>9844246</v>
      </c>
      <c r="S102" s="18">
        <f t="shared" si="30"/>
        <v>-1.4276709564851692E-2</v>
      </c>
      <c r="T102" s="39">
        <f t="shared" si="31"/>
        <v>-2.8717889562922538E-3</v>
      </c>
      <c r="U102" s="11">
        <f>[1]world_population_Raw_Data!H95</f>
        <v>9750573</v>
      </c>
      <c r="V102" s="18">
        <f t="shared" si="32"/>
        <v>-9.5155078408239689E-3</v>
      </c>
      <c r="W102" s="39">
        <f t="shared" si="33"/>
        <v>-1.9103867926641982E-3</v>
      </c>
      <c r="X102" s="11">
        <f>[1]world_population_Raw_Data!G95</f>
        <v>9967308</v>
      </c>
      <c r="Y102" s="18">
        <f t="shared" si="20"/>
        <v>2.2227924451209174E-2</v>
      </c>
      <c r="Z102" s="39">
        <f t="shared" si="34"/>
        <v>1.105287915677744E-2</v>
      </c>
      <c r="AA102" s="19">
        <f t="shared" si="21"/>
        <v>1.2500686144745279E-3</v>
      </c>
      <c r="AB102" s="45">
        <f t="shared" si="35"/>
        <v>-6.5986086362967988E-4</v>
      </c>
      <c r="AC102" s="81">
        <f>X102*(1+AB102)^8</f>
        <v>9914813.0660536345</v>
      </c>
      <c r="AD102" s="81"/>
    </row>
    <row r="103" spans="2:30">
      <c r="B103" s="8">
        <f>[1]world_population_Raw_Data!B96</f>
        <v>95</v>
      </c>
      <c r="C103" s="9" t="str">
        <f>[1]world_population_Raw_Data!D96</f>
        <v>Tajikistan</v>
      </c>
      <c r="D103" s="10" t="str">
        <f>[1]world_population_Raw_Data!F96</f>
        <v>Asia</v>
      </c>
      <c r="E103" s="11">
        <f>[1]world_population_Raw_Data!N96</f>
        <v>2993019</v>
      </c>
      <c r="F103" s="11">
        <f>[1]world_population_Raw_Data!M96</f>
        <v>4045965</v>
      </c>
      <c r="G103" s="18">
        <f t="shared" si="22"/>
        <v>0.35180064008948825</v>
      </c>
      <c r="H103" s="39">
        <f t="shared" si="23"/>
        <v>1.030602673593527</v>
      </c>
      <c r="I103" s="11">
        <f>[1]world_population_Raw_Data!L96</f>
        <v>5417860</v>
      </c>
      <c r="J103" s="18">
        <f t="shared" si="24"/>
        <v>0.33907732765854376</v>
      </c>
      <c r="K103" s="39">
        <f t="shared" si="25"/>
        <v>1.0296285246753643</v>
      </c>
      <c r="L103" s="11">
        <f>[1]world_population_Raw_Data!K96</f>
        <v>6272998</v>
      </c>
      <c r="M103" s="18">
        <f t="shared" si="26"/>
        <v>0.15783685809526271</v>
      </c>
      <c r="N103" s="39">
        <f t="shared" si="27"/>
        <v>1.4763264836125778E-2</v>
      </c>
      <c r="O103" s="11">
        <f>[1]world_population_Raw_Data!J96</f>
        <v>7621779</v>
      </c>
      <c r="P103" s="18">
        <f t="shared" si="28"/>
        <v>0.21501377810099731</v>
      </c>
      <c r="Q103" s="39">
        <f t="shared" si="29"/>
        <v>1.9666427220662364E-2</v>
      </c>
      <c r="R103" s="11">
        <f>[1]world_population_Raw_Data!I96</f>
        <v>8524063</v>
      </c>
      <c r="S103" s="18">
        <f t="shared" si="30"/>
        <v>0.11838233567255099</v>
      </c>
      <c r="T103" s="39">
        <f t="shared" si="31"/>
        <v>2.2628894946717937E-2</v>
      </c>
      <c r="U103" s="11">
        <f>[1]world_population_Raw_Data!H96</f>
        <v>9543207</v>
      </c>
      <c r="V103" s="18">
        <f t="shared" si="32"/>
        <v>0.1195608244566001</v>
      </c>
      <c r="W103" s="39">
        <f t="shared" si="33"/>
        <v>2.2844321996080996E-2</v>
      </c>
      <c r="X103" s="11">
        <f>[1]world_population_Raw_Data!G96</f>
        <v>9952787</v>
      </c>
      <c r="Y103" s="18">
        <f t="shared" si="20"/>
        <v>4.2918486416568348E-2</v>
      </c>
      <c r="Z103" s="39">
        <f t="shared" si="34"/>
        <v>2.1233805950708007E-2</v>
      </c>
      <c r="AA103" s="19">
        <f t="shared" si="21"/>
        <v>1.248247436042921E-3</v>
      </c>
      <c r="AB103" s="45">
        <f t="shared" si="35"/>
        <v>2.337615370449142E-2</v>
      </c>
      <c r="AC103" s="81">
        <f t="shared" ref="AC103:AC119" si="37">X103*(1+AB103)^8</f>
        <v>11973663.63687288</v>
      </c>
      <c r="AD103" s="81"/>
    </row>
    <row r="104" spans="2:30">
      <c r="B104" s="8">
        <f>[1]world_population_Raw_Data!B97</f>
        <v>96</v>
      </c>
      <c r="C104" s="9" t="str">
        <f>[1]world_population_Raw_Data!D97</f>
        <v>Belarus</v>
      </c>
      <c r="D104" s="10" t="str">
        <f>[1]world_population_Raw_Data!F97</f>
        <v>Europe</v>
      </c>
      <c r="E104" s="11">
        <f>[1]world_population_Raw_Data!N97</f>
        <v>9170786</v>
      </c>
      <c r="F104" s="11">
        <f>[1]world_population_Raw_Data!M97</f>
        <v>9817257</v>
      </c>
      <c r="G104" s="18">
        <f t="shared" si="22"/>
        <v>7.0492431074064971E-2</v>
      </c>
      <c r="H104" s="39">
        <f t="shared" si="23"/>
        <v>1.0068351294529601</v>
      </c>
      <c r="I104" s="11">
        <f>[1]world_population_Raw_Data!L97</f>
        <v>10428525</v>
      </c>
      <c r="J104" s="18">
        <f t="shared" si="24"/>
        <v>6.22646427612112E-2</v>
      </c>
      <c r="K104" s="39">
        <f t="shared" si="25"/>
        <v>1.0060585879074608</v>
      </c>
      <c r="L104" s="11">
        <f>[1]world_population_Raw_Data!K97</f>
        <v>10256483</v>
      </c>
      <c r="M104" s="18">
        <f t="shared" si="26"/>
        <v>-1.6497251528859547E-2</v>
      </c>
      <c r="N104" s="39">
        <f t="shared" si="27"/>
        <v>-1.6621018337910076E-3</v>
      </c>
      <c r="O104" s="11">
        <f>[1]world_population_Raw_Data!J97</f>
        <v>9731427</v>
      </c>
      <c r="P104" s="18">
        <f t="shared" si="28"/>
        <v>-5.1192596916506371E-2</v>
      </c>
      <c r="Q104" s="39">
        <f t="shared" si="29"/>
        <v>-5.2411617505067065E-3</v>
      </c>
      <c r="R104" s="11">
        <f>[1]world_population_Raw_Data!I97</f>
        <v>9700609</v>
      </c>
      <c r="S104" s="18">
        <f t="shared" si="30"/>
        <v>-3.1668531244184433E-3</v>
      </c>
      <c r="T104" s="39">
        <f t="shared" si="31"/>
        <v>-6.3417446945979172E-4</v>
      </c>
      <c r="U104" s="11">
        <f>[1]world_population_Raw_Data!H97</f>
        <v>9633740</v>
      </c>
      <c r="V104" s="18">
        <f t="shared" si="32"/>
        <v>-6.8932785560164318E-3</v>
      </c>
      <c r="W104" s="39">
        <f t="shared" si="33"/>
        <v>-1.382472893003972E-3</v>
      </c>
      <c r="X104" s="11">
        <f>[1]world_population_Raw_Data!G97</f>
        <v>9534954</v>
      </c>
      <c r="Y104" s="18">
        <f t="shared" si="20"/>
        <v>-1.0254169201161751E-2</v>
      </c>
      <c r="Z104" s="39">
        <f t="shared" si="34"/>
        <v>-5.1402959216619859E-3</v>
      </c>
      <c r="AA104" s="19">
        <f t="shared" si="21"/>
        <v>1.1958441272064994E-3</v>
      </c>
      <c r="AB104" s="45">
        <f t="shared" si="35"/>
        <v>7.4915389548757538E-4</v>
      </c>
      <c r="AC104" s="81">
        <f t="shared" si="37"/>
        <v>9592249.2450500727</v>
      </c>
      <c r="AD104" s="81"/>
    </row>
    <row r="105" spans="2:30">
      <c r="B105" s="8">
        <f>[1]world_population_Raw_Data!B98</f>
        <v>97</v>
      </c>
      <c r="C105" s="9" t="str">
        <f>[1]world_population_Raw_Data!D98</f>
        <v>United Arab Emirates</v>
      </c>
      <c r="D105" s="10" t="str">
        <f>[1]world_population_Raw_Data!F98</f>
        <v>Asia</v>
      </c>
      <c r="E105" s="11">
        <f>[1]world_population_Raw_Data!N98</f>
        <v>298084</v>
      </c>
      <c r="F105" s="11">
        <f>[1]world_population_Raw_Data!M98</f>
        <v>1014048</v>
      </c>
      <c r="G105" s="18">
        <f t="shared" si="22"/>
        <v>2.4018867164960214</v>
      </c>
      <c r="H105" s="39">
        <f t="shared" si="23"/>
        <v>1.1302434131938519</v>
      </c>
      <c r="I105" s="11">
        <f>[1]world_population_Raw_Data!L98</f>
        <v>1900151</v>
      </c>
      <c r="J105" s="18">
        <f t="shared" si="24"/>
        <v>0.87382747167786934</v>
      </c>
      <c r="K105" s="39">
        <f t="shared" si="25"/>
        <v>1.0648120572655122</v>
      </c>
      <c r="L105" s="11">
        <f>[1]world_population_Raw_Data!K98</f>
        <v>3275333</v>
      </c>
      <c r="M105" s="18">
        <f t="shared" si="26"/>
        <v>0.72372248310792142</v>
      </c>
      <c r="N105" s="39">
        <f t="shared" si="27"/>
        <v>5.5958218472492938E-2</v>
      </c>
      <c r="O105" s="11">
        <f>[1]world_population_Raw_Data!J98</f>
        <v>8481771</v>
      </c>
      <c r="P105" s="18">
        <f t="shared" si="28"/>
        <v>1.5895904324842696</v>
      </c>
      <c r="Q105" s="39">
        <f t="shared" si="29"/>
        <v>9.9823786524332769E-2</v>
      </c>
      <c r="R105" s="11">
        <f>[1]world_population_Raw_Data!I98</f>
        <v>8916899</v>
      </c>
      <c r="S105" s="18">
        <f t="shared" si="30"/>
        <v>5.1301550112588516E-2</v>
      </c>
      <c r="T105" s="39">
        <f t="shared" si="31"/>
        <v>1.0056018942055323E-2</v>
      </c>
      <c r="U105" s="11">
        <f>[1]world_population_Raw_Data!H98</f>
        <v>9287289</v>
      </c>
      <c r="V105" s="18">
        <f t="shared" si="32"/>
        <v>4.1537983103767349E-2</v>
      </c>
      <c r="W105" s="39">
        <f t="shared" si="33"/>
        <v>8.1729074765917176E-3</v>
      </c>
      <c r="X105" s="11">
        <f>[1]world_population_Raw_Data!G98</f>
        <v>9441129</v>
      </c>
      <c r="Y105" s="18">
        <f t="shared" si="20"/>
        <v>1.656457551821635E-2</v>
      </c>
      <c r="Z105" s="39">
        <f t="shared" si="34"/>
        <v>8.2482707737299155E-3</v>
      </c>
      <c r="AA105" s="19">
        <f t="shared" si="21"/>
        <v>1.1840768889759688E-3</v>
      </c>
      <c r="AB105" s="45">
        <f t="shared" si="35"/>
        <v>6.8708668485555791E-2</v>
      </c>
      <c r="AC105" s="81">
        <f t="shared" si="37"/>
        <v>16065660.605864078</v>
      </c>
      <c r="AD105" s="81"/>
    </row>
    <row r="106" spans="2:30">
      <c r="B106" s="8">
        <f>[1]world_population_Raw_Data!B99</f>
        <v>98</v>
      </c>
      <c r="C106" s="9" t="str">
        <f>[1]world_population_Raw_Data!D99</f>
        <v>Israel</v>
      </c>
      <c r="D106" s="10" t="str">
        <f>[1]world_population_Raw_Data!F99</f>
        <v>Asia</v>
      </c>
      <c r="E106" s="11">
        <f>[1]world_population_Raw_Data!N99</f>
        <v>2907307</v>
      </c>
      <c r="F106" s="11">
        <f>[1]world_population_Raw_Data!M99</f>
        <v>3744608</v>
      </c>
      <c r="G106" s="18">
        <f t="shared" si="22"/>
        <v>0.28799882502948604</v>
      </c>
      <c r="H106" s="39">
        <f t="shared" si="23"/>
        <v>1.0256319626651356</v>
      </c>
      <c r="I106" s="11">
        <f>[1]world_population_Raw_Data!L99</f>
        <v>4803254</v>
      </c>
      <c r="J106" s="18">
        <f t="shared" si="24"/>
        <v>0.28271210230817218</v>
      </c>
      <c r="K106" s="39">
        <f t="shared" si="25"/>
        <v>1.0252102019418159</v>
      </c>
      <c r="L106" s="11">
        <f>[1]world_population_Raw_Data!K99</f>
        <v>6116958</v>
      </c>
      <c r="M106" s="18">
        <f t="shared" si="26"/>
        <v>0.27350292114470731</v>
      </c>
      <c r="N106" s="39">
        <f t="shared" si="27"/>
        <v>2.447176744945323E-2</v>
      </c>
      <c r="O106" s="11">
        <f>[1]world_population_Raw_Data!J99</f>
        <v>7328445</v>
      </c>
      <c r="P106" s="18">
        <f t="shared" si="28"/>
        <v>0.19805383656386066</v>
      </c>
      <c r="Q106" s="39">
        <f t="shared" si="29"/>
        <v>1.8234091181858592E-2</v>
      </c>
      <c r="R106" s="11">
        <f>[1]world_population_Raw_Data!I99</f>
        <v>8007778</v>
      </c>
      <c r="S106" s="18">
        <f t="shared" si="30"/>
        <v>9.2698109899166881E-2</v>
      </c>
      <c r="T106" s="39">
        <f t="shared" si="31"/>
        <v>1.7888102947876794E-2</v>
      </c>
      <c r="U106" s="11">
        <f>[1]world_population_Raw_Data!H99</f>
        <v>8757489</v>
      </c>
      <c r="V106" s="18">
        <f t="shared" si="32"/>
        <v>9.3622850183908701E-2</v>
      </c>
      <c r="W106" s="39">
        <f t="shared" si="33"/>
        <v>1.8060330509724443E-2</v>
      </c>
      <c r="X106" s="11">
        <f>[1]world_population_Raw_Data!G99</f>
        <v>9038309</v>
      </c>
      <c r="Y106" s="18">
        <f t="shared" si="20"/>
        <v>3.2066269223975048E-2</v>
      </c>
      <c r="Z106" s="39">
        <f t="shared" si="34"/>
        <v>1.5906624264245606E-2</v>
      </c>
      <c r="AA106" s="19">
        <f t="shared" si="21"/>
        <v>1.1335564636733065E-3</v>
      </c>
      <c r="AB106" s="45">
        <f t="shared" si="35"/>
        <v>2.2052031021911001E-2</v>
      </c>
      <c r="AC106" s="81">
        <f t="shared" si="37"/>
        <v>10761460.837788058</v>
      </c>
      <c r="AD106" s="81"/>
    </row>
    <row r="107" spans="2:30">
      <c r="B107" s="8">
        <f>[1]world_population_Raw_Data!B100</f>
        <v>99</v>
      </c>
      <c r="C107" s="9" t="str">
        <f>[1]world_population_Raw_Data!D100</f>
        <v>Austria</v>
      </c>
      <c r="D107" s="10" t="str">
        <f>[1]world_population_Raw_Data!F100</f>
        <v>Europe</v>
      </c>
      <c r="E107" s="11">
        <f>[1]world_population_Raw_Data!N100</f>
        <v>7465301</v>
      </c>
      <c r="F107" s="11">
        <f>[1]world_population_Raw_Data!M100</f>
        <v>7547561</v>
      </c>
      <c r="G107" s="18">
        <f t="shared" si="22"/>
        <v>1.1018979676773916E-2</v>
      </c>
      <c r="H107" s="39">
        <f t="shared" si="23"/>
        <v>1.0010964719897621</v>
      </c>
      <c r="I107" s="11">
        <f>[1]world_population_Raw_Data!L100</f>
        <v>7678729</v>
      </c>
      <c r="J107" s="18">
        <f t="shared" si="24"/>
        <v>1.7378859210279984E-2</v>
      </c>
      <c r="K107" s="39">
        <f t="shared" si="25"/>
        <v>1.0017244425398719</v>
      </c>
      <c r="L107" s="11">
        <f>[1]world_population_Raw_Data!K100</f>
        <v>8010428</v>
      </c>
      <c r="M107" s="18">
        <f t="shared" si="26"/>
        <v>4.3197122857181185E-2</v>
      </c>
      <c r="N107" s="39">
        <f t="shared" si="27"/>
        <v>4.237970323644813E-3</v>
      </c>
      <c r="O107" s="11">
        <f>[1]world_population_Raw_Data!J100</f>
        <v>8362829</v>
      </c>
      <c r="P107" s="18">
        <f t="shared" si="28"/>
        <v>4.3992780410734608E-2</v>
      </c>
      <c r="Q107" s="39">
        <f t="shared" si="29"/>
        <v>4.3145383469651577E-3</v>
      </c>
      <c r="R107" s="11">
        <f>[1]world_population_Raw_Data!I100</f>
        <v>8642421</v>
      </c>
      <c r="S107" s="18">
        <f t="shared" si="30"/>
        <v>3.3432705607157581E-2</v>
      </c>
      <c r="T107" s="39">
        <f t="shared" si="31"/>
        <v>6.598874242393693E-3</v>
      </c>
      <c r="U107" s="11">
        <f>[1]world_population_Raw_Data!H100</f>
        <v>8907777</v>
      </c>
      <c r="V107" s="18">
        <f t="shared" si="32"/>
        <v>3.0703896512331439E-2</v>
      </c>
      <c r="W107" s="39">
        <f t="shared" si="33"/>
        <v>6.0667211622589257E-3</v>
      </c>
      <c r="X107" s="11">
        <f>[1]world_population_Raw_Data!G100</f>
        <v>8939617</v>
      </c>
      <c r="Y107" s="18">
        <f t="shared" si="20"/>
        <v>3.5744047027670314E-3</v>
      </c>
      <c r="Z107" s="39">
        <f t="shared" si="34"/>
        <v>1.7856081531453238E-3</v>
      </c>
      <c r="AA107" s="19">
        <f t="shared" si="21"/>
        <v>1.1211788215155923E-3</v>
      </c>
      <c r="AB107" s="45">
        <f t="shared" si="35"/>
        <v>3.4719169476573608E-3</v>
      </c>
      <c r="AC107" s="81">
        <f t="shared" si="37"/>
        <v>9190956.1847135257</v>
      </c>
      <c r="AD107" s="81"/>
    </row>
    <row r="108" spans="2:30">
      <c r="B108" s="8">
        <f>[1]world_population_Raw_Data!B101</f>
        <v>100</v>
      </c>
      <c r="C108" s="9" t="str">
        <f>[1]world_population_Raw_Data!D101</f>
        <v>Togo</v>
      </c>
      <c r="D108" s="10" t="str">
        <f>[1]world_population_Raw_Data!F101</f>
        <v>Africa</v>
      </c>
      <c r="E108" s="11">
        <f>[1]world_population_Raw_Data!N101</f>
        <v>2197383</v>
      </c>
      <c r="F108" s="11">
        <f>[1]world_population_Raw_Data!M101</f>
        <v>2838110</v>
      </c>
      <c r="G108" s="18">
        <f t="shared" si="22"/>
        <v>0.29158640073214365</v>
      </c>
      <c r="H108" s="39">
        <f t="shared" si="23"/>
        <v>1.0259172834544057</v>
      </c>
      <c r="I108" s="11">
        <f>[1]world_population_Raw_Data!L101</f>
        <v>3875947</v>
      </c>
      <c r="J108" s="18">
        <f t="shared" si="24"/>
        <v>0.36567892012642217</v>
      </c>
      <c r="K108" s="39">
        <f t="shared" si="25"/>
        <v>1.0316558865989811</v>
      </c>
      <c r="L108" s="11">
        <f>[1]world_population_Raw_Data!K101</f>
        <v>5008035</v>
      </c>
      <c r="M108" s="18">
        <f t="shared" si="26"/>
        <v>0.2920803612639698</v>
      </c>
      <c r="N108" s="39">
        <f t="shared" si="27"/>
        <v>2.595651237891583E-2</v>
      </c>
      <c r="O108" s="11">
        <f>[1]world_population_Raw_Data!J101</f>
        <v>6571855</v>
      </c>
      <c r="P108" s="18">
        <f t="shared" si="28"/>
        <v>0.31226219465319233</v>
      </c>
      <c r="Q108" s="39">
        <f t="shared" si="29"/>
        <v>2.7547866191226955E-2</v>
      </c>
      <c r="R108" s="11">
        <f>[1]world_population_Raw_Data!I101</f>
        <v>7473229</v>
      </c>
      <c r="S108" s="18">
        <f t="shared" si="30"/>
        <v>0.13715670841794289</v>
      </c>
      <c r="T108" s="39">
        <f t="shared" si="31"/>
        <v>2.6039460257815339E-2</v>
      </c>
      <c r="U108" s="11">
        <f>[1]world_population_Raw_Data!H101</f>
        <v>8442580</v>
      </c>
      <c r="V108" s="18">
        <f t="shared" si="32"/>
        <v>0.12970979478883893</v>
      </c>
      <c r="W108" s="39">
        <f t="shared" si="33"/>
        <v>2.4692078454477739E-2</v>
      </c>
      <c r="X108" s="11">
        <f>[1]world_population_Raw_Data!G101</f>
        <v>8848699</v>
      </c>
      <c r="Y108" s="18">
        <f t="shared" si="20"/>
        <v>4.8103660255514311E-2</v>
      </c>
      <c r="Z108" s="39">
        <f t="shared" si="34"/>
        <v>2.3769339380465215E-2</v>
      </c>
      <c r="AA108" s="19">
        <f t="shared" si="21"/>
        <v>1.1097761701386313E-3</v>
      </c>
      <c r="AB108" s="45">
        <f t="shared" si="35"/>
        <v>2.7150563834253294E-2</v>
      </c>
      <c r="AC108" s="81">
        <f t="shared" si="37"/>
        <v>10963577.561044551</v>
      </c>
      <c r="AD108" s="81"/>
    </row>
    <row r="109" spans="2:30">
      <c r="B109" s="8">
        <f>[1]world_population_Raw_Data!B102</f>
        <v>101</v>
      </c>
      <c r="C109" s="9" t="str">
        <f>[1]world_population_Raw_Data!D102</f>
        <v>Switzerland</v>
      </c>
      <c r="D109" s="10" t="str">
        <f>[1]world_population_Raw_Data!F102</f>
        <v>Europe</v>
      </c>
      <c r="E109" s="11">
        <f>[1]world_population_Raw_Data!N102</f>
        <v>6181227</v>
      </c>
      <c r="F109" s="11">
        <f>[1]world_population_Raw_Data!M102</f>
        <v>6319113</v>
      </c>
      <c r="G109" s="18">
        <f t="shared" si="22"/>
        <v>2.230722152737636E-2</v>
      </c>
      <c r="H109" s="39">
        <f t="shared" si="23"/>
        <v>1.0022086409376196</v>
      </c>
      <c r="I109" s="11">
        <f>[1]world_population_Raw_Data!L102</f>
        <v>6711693</v>
      </c>
      <c r="J109" s="18">
        <f t="shared" si="24"/>
        <v>6.2125807846765836E-2</v>
      </c>
      <c r="K109" s="39">
        <f t="shared" si="25"/>
        <v>1.006045438239487</v>
      </c>
      <c r="L109" s="11">
        <f>[1]world_population_Raw_Data!K102</f>
        <v>7182059</v>
      </c>
      <c r="M109" s="18">
        <f t="shared" si="26"/>
        <v>7.0081572562988206E-2</v>
      </c>
      <c r="N109" s="39">
        <f t="shared" si="27"/>
        <v>6.7964801143425291E-3</v>
      </c>
      <c r="O109" s="11">
        <f>[1]world_population_Raw_Data!J102</f>
        <v>7822435</v>
      </c>
      <c r="P109" s="18">
        <f t="shared" si="28"/>
        <v>8.9163288689218509E-2</v>
      </c>
      <c r="Q109" s="39">
        <f t="shared" si="29"/>
        <v>8.577555854302199E-3</v>
      </c>
      <c r="R109" s="11">
        <f>[1]world_population_Raw_Data!I102</f>
        <v>8281732</v>
      </c>
      <c r="S109" s="18">
        <f t="shared" si="30"/>
        <v>5.8715348865155156E-2</v>
      </c>
      <c r="T109" s="39">
        <f t="shared" si="31"/>
        <v>1.1476604270642232E-2</v>
      </c>
      <c r="U109" s="11">
        <f>[1]world_population_Raw_Data!H102</f>
        <v>8638613</v>
      </c>
      <c r="V109" s="18">
        <f t="shared" si="32"/>
        <v>4.3092556001570685E-2</v>
      </c>
      <c r="W109" s="39">
        <f t="shared" si="33"/>
        <v>8.473682566701557E-3</v>
      </c>
      <c r="X109" s="11">
        <f>[1]world_population_Raw_Data!G102</f>
        <v>8740472</v>
      </c>
      <c r="Y109" s="18">
        <f t="shared" si="20"/>
        <v>1.1791128969430626E-2</v>
      </c>
      <c r="Z109" s="39">
        <f t="shared" si="34"/>
        <v>5.8782873536094016E-3</v>
      </c>
      <c r="AA109" s="19">
        <f t="shared" si="21"/>
        <v>1.0962026780845346E-3</v>
      </c>
      <c r="AB109" s="45">
        <f t="shared" si="35"/>
        <v>6.684693439670264E-3</v>
      </c>
      <c r="AC109" s="81">
        <f t="shared" si="37"/>
        <v>9218974.3763720207</v>
      </c>
      <c r="AD109" s="81"/>
    </row>
    <row r="110" spans="2:30">
      <c r="B110" s="8">
        <f>[1]world_population_Raw_Data!B103</f>
        <v>102</v>
      </c>
      <c r="C110" s="9" t="str">
        <f>[1]world_population_Raw_Data!D103</f>
        <v>Sierra Leone</v>
      </c>
      <c r="D110" s="10" t="str">
        <f>[1]world_population_Raw_Data!F103</f>
        <v>Africa</v>
      </c>
      <c r="E110" s="11">
        <f>[1]world_population_Raw_Data!N103</f>
        <v>2778557</v>
      </c>
      <c r="F110" s="11">
        <f>[1]world_population_Raw_Data!M103</f>
        <v>3367477</v>
      </c>
      <c r="G110" s="18">
        <f t="shared" si="22"/>
        <v>0.21195174329697034</v>
      </c>
      <c r="H110" s="39">
        <f t="shared" si="23"/>
        <v>1.0194091625974595</v>
      </c>
      <c r="I110" s="11">
        <f>[1]world_population_Raw_Data!L103</f>
        <v>4325388</v>
      </c>
      <c r="J110" s="18">
        <f t="shared" si="24"/>
        <v>0.28445955235922921</v>
      </c>
      <c r="K110" s="39">
        <f t="shared" si="25"/>
        <v>1.0253497816886343</v>
      </c>
      <c r="L110" s="11">
        <f>[1]world_population_Raw_Data!K103</f>
        <v>4584067</v>
      </c>
      <c r="M110" s="18">
        <f t="shared" si="26"/>
        <v>5.9804808262287686E-2</v>
      </c>
      <c r="N110" s="39">
        <f t="shared" si="27"/>
        <v>5.8253767005425061E-3</v>
      </c>
      <c r="O110" s="11">
        <f>[1]world_population_Raw_Data!J103</f>
        <v>6436698</v>
      </c>
      <c r="P110" s="18">
        <f t="shared" si="28"/>
        <v>0.40414570729441784</v>
      </c>
      <c r="Q110" s="39">
        <f t="shared" si="29"/>
        <v>3.4525541945321869E-2</v>
      </c>
      <c r="R110" s="11">
        <f>[1]world_population_Raw_Data!I103</f>
        <v>7314773</v>
      </c>
      <c r="S110" s="18">
        <f t="shared" si="30"/>
        <v>0.1364169951736123</v>
      </c>
      <c r="T110" s="39">
        <f t="shared" si="31"/>
        <v>2.5905939075937967E-2</v>
      </c>
      <c r="U110" s="11">
        <f>[1]world_population_Raw_Data!H103</f>
        <v>8233969</v>
      </c>
      <c r="V110" s="18">
        <f t="shared" si="32"/>
        <v>0.12566295632140601</v>
      </c>
      <c r="W110" s="39">
        <f t="shared" si="33"/>
        <v>2.3956895322494676E-2</v>
      </c>
      <c r="X110" s="11">
        <f>[1]world_population_Raw_Data!G103</f>
        <v>8605718</v>
      </c>
      <c r="Y110" s="18">
        <f t="shared" si="20"/>
        <v>4.5148214670227685E-2</v>
      </c>
      <c r="Z110" s="39">
        <f t="shared" si="34"/>
        <v>2.2324906607595008E-2</v>
      </c>
      <c r="AA110" s="19">
        <f t="shared" si="21"/>
        <v>1.0793022526060705E-3</v>
      </c>
      <c r="AB110" s="45">
        <f t="shared" si="35"/>
        <v>2.1978333145936668E-2</v>
      </c>
      <c r="AC110" s="81">
        <f t="shared" si="37"/>
        <v>10240487.182985514</v>
      </c>
      <c r="AD110" s="81"/>
    </row>
    <row r="111" spans="2:30">
      <c r="B111" s="8">
        <f>[1]world_population_Raw_Data!B104</f>
        <v>103</v>
      </c>
      <c r="C111" s="9" t="str">
        <f>[1]world_population_Raw_Data!D104</f>
        <v>Laos</v>
      </c>
      <c r="D111" s="10" t="str">
        <f>[1]world_population_Raw_Data!F104</f>
        <v>Asia</v>
      </c>
      <c r="E111" s="11">
        <f>[1]world_population_Raw_Data!N104</f>
        <v>2675283</v>
      </c>
      <c r="F111" s="11">
        <f>[1]world_population_Raw_Data!M104</f>
        <v>3297519</v>
      </c>
      <c r="G111" s="18">
        <f t="shared" si="22"/>
        <v>0.2325869823865363</v>
      </c>
      <c r="H111" s="39">
        <f t="shared" si="23"/>
        <v>1.0211316977431968</v>
      </c>
      <c r="I111" s="11">
        <f>[1]world_population_Raw_Data!L104</f>
        <v>4314443</v>
      </c>
      <c r="J111" s="18">
        <f t="shared" si="24"/>
        <v>0.30839064157022295</v>
      </c>
      <c r="K111" s="39">
        <f t="shared" si="25"/>
        <v>1.0272443066128252</v>
      </c>
      <c r="L111" s="11">
        <f>[1]world_population_Raw_Data!K104</f>
        <v>5430853</v>
      </c>
      <c r="M111" s="18">
        <f t="shared" si="26"/>
        <v>0.25876109616003734</v>
      </c>
      <c r="N111" s="39">
        <f t="shared" si="27"/>
        <v>2.3279635420059952E-2</v>
      </c>
      <c r="O111" s="11">
        <f>[1]world_population_Raw_Data!J104</f>
        <v>6323418</v>
      </c>
      <c r="P111" s="18">
        <f t="shared" si="28"/>
        <v>0.16435079351254767</v>
      </c>
      <c r="Q111" s="39">
        <f t="shared" si="29"/>
        <v>1.5332725641809208E-2</v>
      </c>
      <c r="R111" s="11">
        <f>[1]world_population_Raw_Data!I104</f>
        <v>6787419</v>
      </c>
      <c r="S111" s="18">
        <f t="shared" si="30"/>
        <v>7.3378195146991704E-2</v>
      </c>
      <c r="T111" s="39">
        <f t="shared" si="31"/>
        <v>1.4262932016091412E-2</v>
      </c>
      <c r="U111" s="11">
        <f>[1]world_population_Raw_Data!H104</f>
        <v>7319399</v>
      </c>
      <c r="V111" s="18">
        <f t="shared" si="32"/>
        <v>7.8377362588047089E-2</v>
      </c>
      <c r="W111" s="39">
        <f t="shared" si="33"/>
        <v>1.5205945475294858E-2</v>
      </c>
      <c r="X111" s="11">
        <f>[1]world_population_Raw_Data!G104</f>
        <v>7529475</v>
      </c>
      <c r="Y111" s="18">
        <f t="shared" si="20"/>
        <v>2.8701263587351911E-2</v>
      </c>
      <c r="Z111" s="39">
        <f t="shared" si="34"/>
        <v>1.4249113180461181E-2</v>
      </c>
      <c r="AA111" s="19">
        <f t="shared" si="21"/>
        <v>9.443232195664663E-4</v>
      </c>
      <c r="AB111" s="45">
        <f t="shared" si="35"/>
        <v>2.0098739400266519E-2</v>
      </c>
      <c r="AC111" s="81">
        <f t="shared" si="37"/>
        <v>8828814.3095706273</v>
      </c>
      <c r="AD111" s="81"/>
    </row>
    <row r="112" spans="2:30">
      <c r="B112" s="8">
        <f>[1]world_population_Raw_Data!B105</f>
        <v>104</v>
      </c>
      <c r="C112" s="9" t="str">
        <f>[1]world_population_Raw_Data!D105</f>
        <v>Hong Kong</v>
      </c>
      <c r="D112" s="10" t="str">
        <f>[1]world_population_Raw_Data!F105</f>
        <v>Asia</v>
      </c>
      <c r="E112" s="11">
        <f>[1]world_population_Raw_Data!N105</f>
        <v>3955072</v>
      </c>
      <c r="F112" s="11">
        <f>[1]world_population_Raw_Data!M105</f>
        <v>4978544</v>
      </c>
      <c r="G112" s="18">
        <f t="shared" si="22"/>
        <v>0.25877455581086767</v>
      </c>
      <c r="H112" s="39">
        <f t="shared" si="23"/>
        <v>1.0232807295848196</v>
      </c>
      <c r="I112" s="11">
        <f>[1]world_population_Raw_Data!L105</f>
        <v>5838574</v>
      </c>
      <c r="J112" s="18">
        <f t="shared" si="24"/>
        <v>0.17274729318451337</v>
      </c>
      <c r="K112" s="39">
        <f t="shared" si="25"/>
        <v>1.0160625487718349</v>
      </c>
      <c r="L112" s="11">
        <f>[1]world_population_Raw_Data!K105</f>
        <v>6731195</v>
      </c>
      <c r="M112" s="18">
        <f t="shared" si="26"/>
        <v>0.15288339241739507</v>
      </c>
      <c r="N112" s="39">
        <f t="shared" si="27"/>
        <v>1.4328290043552627E-2</v>
      </c>
      <c r="O112" s="11">
        <f>[1]world_population_Raw_Data!J105</f>
        <v>7132438</v>
      </c>
      <c r="P112" s="18">
        <f t="shared" si="28"/>
        <v>5.9609474989210681E-2</v>
      </c>
      <c r="Q112" s="39">
        <f t="shared" si="29"/>
        <v>5.8068367336903126E-3</v>
      </c>
      <c r="R112" s="11">
        <f>[1]world_population_Raw_Data!I105</f>
        <v>7399838</v>
      </c>
      <c r="S112" s="18">
        <f t="shared" si="30"/>
        <v>3.7490686915189447E-2</v>
      </c>
      <c r="T112" s="39">
        <f t="shared" si="31"/>
        <v>7.3881580761687715E-3</v>
      </c>
      <c r="U112" s="11">
        <f>[1]world_population_Raw_Data!H105</f>
        <v>7500958</v>
      </c>
      <c r="V112" s="18">
        <f t="shared" si="32"/>
        <v>1.3665164021158301E-2</v>
      </c>
      <c r="W112" s="39">
        <f t="shared" si="33"/>
        <v>2.7182151938096588E-3</v>
      </c>
      <c r="X112" s="11">
        <f>[1]world_population_Raw_Data!G105</f>
        <v>7488865</v>
      </c>
      <c r="Y112" s="18">
        <f t="shared" si="20"/>
        <v>-1.6121940690775765E-3</v>
      </c>
      <c r="Z112" s="39">
        <f t="shared" si="34"/>
        <v>-8.064221929153792E-4</v>
      </c>
      <c r="AA112" s="19">
        <f t="shared" si="21"/>
        <v>9.39230040301432E-4</v>
      </c>
      <c r="AB112" s="45">
        <f t="shared" si="35"/>
        <v>1.2352952937519035E-2</v>
      </c>
      <c r="AC112" s="81">
        <f t="shared" si="37"/>
        <v>8261742.0971818697</v>
      </c>
      <c r="AD112" s="81"/>
    </row>
    <row r="113" spans="2:30">
      <c r="B113" s="8">
        <f>[1]world_population_Raw_Data!B106</f>
        <v>105</v>
      </c>
      <c r="C113" s="9" t="str">
        <f>[1]world_population_Raw_Data!D106</f>
        <v>Serbia</v>
      </c>
      <c r="D113" s="10" t="str">
        <f>[1]world_population_Raw_Data!F106</f>
        <v>Europe</v>
      </c>
      <c r="E113" s="11">
        <f>[1]world_population_Raw_Data!N106</f>
        <v>7193533</v>
      </c>
      <c r="F113" s="11">
        <f>[1]world_population_Raw_Data!M106</f>
        <v>7777010</v>
      </c>
      <c r="G113" s="18">
        <f t="shared" si="22"/>
        <v>8.1111325964585132E-2</v>
      </c>
      <c r="H113" s="39">
        <f t="shared" si="23"/>
        <v>1.0078294427983399</v>
      </c>
      <c r="I113" s="11">
        <f>[1]world_population_Raw_Data!L106</f>
        <v>7987529</v>
      </c>
      <c r="J113" s="18">
        <f t="shared" si="24"/>
        <v>2.7069400707984175E-2</v>
      </c>
      <c r="K113" s="39">
        <f t="shared" si="25"/>
        <v>1.0026745206476226</v>
      </c>
      <c r="L113" s="11">
        <f>[1]world_population_Raw_Data!K106</f>
        <v>7935022</v>
      </c>
      <c r="M113" s="18">
        <f t="shared" si="26"/>
        <v>-6.5736224557056385E-3</v>
      </c>
      <c r="N113" s="39">
        <f t="shared" si="27"/>
        <v>-6.5931494318960393E-4</v>
      </c>
      <c r="O113" s="11">
        <f>[1]world_population_Raw_Data!J106</f>
        <v>7653748</v>
      </c>
      <c r="P113" s="18">
        <f t="shared" si="28"/>
        <v>-3.5447160701003726E-2</v>
      </c>
      <c r="Q113" s="39">
        <f t="shared" si="29"/>
        <v>-3.6025615478072481E-3</v>
      </c>
      <c r="R113" s="11">
        <f>[1]world_population_Raw_Data!I106</f>
        <v>7519496</v>
      </c>
      <c r="S113" s="18">
        <f t="shared" si="30"/>
        <v>-1.7540687255446611E-2</v>
      </c>
      <c r="T113" s="39">
        <f t="shared" si="31"/>
        <v>-3.5330137800513306E-3</v>
      </c>
      <c r="U113" s="11">
        <f>[1]world_population_Raw_Data!H106</f>
        <v>7358005</v>
      </c>
      <c r="V113" s="18">
        <f t="shared" si="32"/>
        <v>-2.1476306390747466E-2</v>
      </c>
      <c r="W113" s="39">
        <f t="shared" si="33"/>
        <v>-4.332642550235577E-3</v>
      </c>
      <c r="X113" s="11">
        <f>[1]world_population_Raw_Data!G106</f>
        <v>7221365</v>
      </c>
      <c r="Y113" s="18">
        <f t="shared" si="20"/>
        <v>-1.8570251039514107E-2</v>
      </c>
      <c r="Z113" s="39">
        <f t="shared" si="34"/>
        <v>-9.3286372562867426E-3</v>
      </c>
      <c r="AA113" s="19">
        <f t="shared" si="21"/>
        <v>9.0568102642808366E-4</v>
      </c>
      <c r="AB113" s="45">
        <f t="shared" si="35"/>
        <v>7.4263627560577916E-5</v>
      </c>
      <c r="AC113" s="81">
        <f t="shared" si="37"/>
        <v>7225656.3933930052</v>
      </c>
      <c r="AD113" s="81"/>
    </row>
    <row r="114" spans="2:30">
      <c r="B114" s="8">
        <f>[1]world_population_Raw_Data!B107</f>
        <v>106</v>
      </c>
      <c r="C114" s="9" t="str">
        <f>[1]world_population_Raw_Data!D107</f>
        <v>Nicaragua</v>
      </c>
      <c r="D114" s="10" t="str">
        <f>[1]world_population_Raw_Data!F107</f>
        <v>North America</v>
      </c>
      <c r="E114" s="11">
        <f>[1]world_population_Raw_Data!N107</f>
        <v>2444767</v>
      </c>
      <c r="F114" s="11">
        <f>[1]world_population_Raw_Data!M107</f>
        <v>3303309</v>
      </c>
      <c r="G114" s="18">
        <f t="shared" si="22"/>
        <v>0.35117538808401783</v>
      </c>
      <c r="H114" s="39">
        <f t="shared" si="23"/>
        <v>1.0305549949247133</v>
      </c>
      <c r="I114" s="11">
        <f>[1]world_population_Raw_Data!L107</f>
        <v>4227820</v>
      </c>
      <c r="J114" s="18">
        <f t="shared" si="24"/>
        <v>0.27987421098056525</v>
      </c>
      <c r="K114" s="39">
        <f t="shared" si="25"/>
        <v>1.0249831567774375</v>
      </c>
      <c r="L114" s="11">
        <f>[1]world_population_Raw_Data!K107</f>
        <v>5123222</v>
      </c>
      <c r="M114" s="18">
        <f t="shared" si="26"/>
        <v>0.21178810829221678</v>
      </c>
      <c r="N114" s="39">
        <f t="shared" si="27"/>
        <v>1.9395397927367553E-2</v>
      </c>
      <c r="O114" s="11">
        <f>[1]world_population_Raw_Data!J107</f>
        <v>5855734</v>
      </c>
      <c r="P114" s="18">
        <f t="shared" si="28"/>
        <v>0.14297877390439065</v>
      </c>
      <c r="Q114" s="39">
        <f t="shared" si="29"/>
        <v>1.3453475846525897E-2</v>
      </c>
      <c r="R114" s="11">
        <f>[1]world_population_Raw_Data!I107</f>
        <v>6298598</v>
      </c>
      <c r="S114" s="18">
        <f t="shared" si="30"/>
        <v>7.5629118399162254E-2</v>
      </c>
      <c r="T114" s="39">
        <f t="shared" si="31"/>
        <v>1.4687966805897013E-2</v>
      </c>
      <c r="U114" s="11">
        <f>[1]world_population_Raw_Data!H107</f>
        <v>6755895</v>
      </c>
      <c r="V114" s="18">
        <f t="shared" si="32"/>
        <v>7.2602982441489355E-2</v>
      </c>
      <c r="W114" s="39">
        <f t="shared" si="33"/>
        <v>1.4116385951200572E-2</v>
      </c>
      <c r="X114" s="11">
        <f>[1]world_population_Raw_Data!G107</f>
        <v>6948392</v>
      </c>
      <c r="Y114" s="18">
        <f t="shared" si="20"/>
        <v>2.8493190021455336E-2</v>
      </c>
      <c r="Z114" s="39">
        <f t="shared" si="34"/>
        <v>1.4146532815379365E-2</v>
      </c>
      <c r="AA114" s="19">
        <f t="shared" si="21"/>
        <v>8.7144560600173034E-4</v>
      </c>
      <c r="AB114" s="45">
        <f t="shared" si="35"/>
        <v>2.0290816471800532E-2</v>
      </c>
      <c r="AC114" s="81">
        <f t="shared" si="37"/>
        <v>8159736.4664468272</v>
      </c>
      <c r="AD114" s="81"/>
    </row>
    <row r="115" spans="2:30">
      <c r="B115" s="8">
        <f>[1]world_population_Raw_Data!B108</f>
        <v>107</v>
      </c>
      <c r="C115" s="9" t="str">
        <f>[1]world_population_Raw_Data!D108</f>
        <v>Libya</v>
      </c>
      <c r="D115" s="10" t="str">
        <f>[1]world_population_Raw_Data!F108</f>
        <v>Africa</v>
      </c>
      <c r="E115" s="11">
        <f>[1]world_population_Raw_Data!N108</f>
        <v>1909177</v>
      </c>
      <c r="F115" s="11">
        <f>[1]world_population_Raw_Data!M108</f>
        <v>2962720</v>
      </c>
      <c r="G115" s="18">
        <f t="shared" si="22"/>
        <v>0.55183097219377775</v>
      </c>
      <c r="H115" s="39">
        <f t="shared" si="23"/>
        <v>1.0449233679432259</v>
      </c>
      <c r="I115" s="11">
        <f>[1]world_population_Raw_Data!L108</f>
        <v>4236983</v>
      </c>
      <c r="J115" s="18">
        <f t="shared" si="24"/>
        <v>0.43009903062051086</v>
      </c>
      <c r="K115" s="39">
        <f t="shared" si="25"/>
        <v>1.0364219716017666</v>
      </c>
      <c r="L115" s="11">
        <f>[1]world_population_Raw_Data!K108</f>
        <v>5154790</v>
      </c>
      <c r="M115" s="18">
        <f t="shared" si="26"/>
        <v>0.21661805109909574</v>
      </c>
      <c r="N115" s="39">
        <f t="shared" si="27"/>
        <v>1.9800981429275666E-2</v>
      </c>
      <c r="O115" s="11">
        <f>[1]world_population_Raw_Data!J108</f>
        <v>6491988</v>
      </c>
      <c r="P115" s="18">
        <f t="shared" si="28"/>
        <v>0.2594088216978771</v>
      </c>
      <c r="Q115" s="39">
        <f t="shared" si="29"/>
        <v>2.3332278524969219E-2</v>
      </c>
      <c r="R115" s="11">
        <f>[1]world_population_Raw_Data!I108</f>
        <v>6192235</v>
      </c>
      <c r="S115" s="18">
        <f t="shared" si="30"/>
        <v>-4.6172759407441914E-2</v>
      </c>
      <c r="T115" s="39">
        <f t="shared" si="31"/>
        <v>-9.4099890249498275E-3</v>
      </c>
      <c r="U115" s="11">
        <f>[1]world_population_Raw_Data!H108</f>
        <v>6653942</v>
      </c>
      <c r="V115" s="18">
        <f t="shared" si="32"/>
        <v>7.4562254178014889E-2</v>
      </c>
      <c r="W115" s="39">
        <f t="shared" si="33"/>
        <v>1.448660296962534E-2</v>
      </c>
      <c r="X115" s="11">
        <f>[1]world_population_Raw_Data!G108</f>
        <v>6812341</v>
      </c>
      <c r="Y115" s="18">
        <f t="shared" si="20"/>
        <v>2.3805287151586231E-2</v>
      </c>
      <c r="Z115" s="39">
        <f t="shared" si="34"/>
        <v>1.1832637915770272E-2</v>
      </c>
      <c r="AA115" s="19">
        <f t="shared" si="21"/>
        <v>8.543825148373082E-4</v>
      </c>
      <c r="AB115" s="45">
        <f t="shared" si="35"/>
        <v>2.4764428979677344E-2</v>
      </c>
      <c r="AC115" s="81">
        <f t="shared" si="37"/>
        <v>8284927.5539175393</v>
      </c>
      <c r="AD115" s="81"/>
    </row>
    <row r="116" spans="2:30">
      <c r="B116" s="8">
        <f>[1]world_population_Raw_Data!B109</f>
        <v>108</v>
      </c>
      <c r="C116" s="9" t="str">
        <f>[1]world_population_Raw_Data!D109</f>
        <v>Bulgaria</v>
      </c>
      <c r="D116" s="10" t="str">
        <f>[1]world_population_Raw_Data!F109</f>
        <v>Europe</v>
      </c>
      <c r="E116" s="11">
        <f>[1]world_population_Raw_Data!N109</f>
        <v>8582950</v>
      </c>
      <c r="F116" s="11">
        <f>[1]world_population_Raw_Data!M109</f>
        <v>8980606</v>
      </c>
      <c r="G116" s="18">
        <f t="shared" si="22"/>
        <v>4.63309235169726E-2</v>
      </c>
      <c r="H116" s="39">
        <f t="shared" si="23"/>
        <v>1.0045392398868993</v>
      </c>
      <c r="I116" s="11">
        <f>[1]world_population_Raw_Data!L109</f>
        <v>8767778</v>
      </c>
      <c r="J116" s="18">
        <f t="shared" si="24"/>
        <v>-2.3698623455922684E-2</v>
      </c>
      <c r="K116" s="39">
        <f t="shared" si="25"/>
        <v>0.99760447857281676</v>
      </c>
      <c r="L116" s="11">
        <f>[1]world_population_Raw_Data!K109</f>
        <v>8097691</v>
      </c>
      <c r="M116" s="18">
        <f t="shared" si="26"/>
        <v>-7.6426091080317046E-2</v>
      </c>
      <c r="N116" s="39">
        <f t="shared" si="27"/>
        <v>-7.918923925327559E-3</v>
      </c>
      <c r="O116" s="11">
        <f>[1]world_population_Raw_Data!J109</f>
        <v>7592273</v>
      </c>
      <c r="P116" s="18">
        <f t="shared" si="28"/>
        <v>-6.2415076100088285E-2</v>
      </c>
      <c r="Q116" s="39">
        <f t="shared" si="29"/>
        <v>-6.4240708326996909E-3</v>
      </c>
      <c r="R116" s="11">
        <f>[1]world_population_Raw_Data!I109</f>
        <v>7309253</v>
      </c>
      <c r="S116" s="18">
        <f t="shared" si="30"/>
        <v>-3.7277373982732183E-2</v>
      </c>
      <c r="T116" s="39">
        <f t="shared" si="31"/>
        <v>-7.569196216923868E-3</v>
      </c>
      <c r="U116" s="11">
        <f>[1]world_population_Raw_Data!H109</f>
        <v>6979175</v>
      </c>
      <c r="V116" s="18">
        <f t="shared" si="32"/>
        <v>-4.5158923900978663E-2</v>
      </c>
      <c r="W116" s="39">
        <f t="shared" si="33"/>
        <v>-9.1994962725133744E-3</v>
      </c>
      <c r="X116" s="11">
        <f>[1]world_population_Raw_Data!G109</f>
        <v>6781953</v>
      </c>
      <c r="Y116" s="18">
        <f t="shared" si="20"/>
        <v>-2.8258640885204914E-2</v>
      </c>
      <c r="Z116" s="39">
        <f t="shared" si="34"/>
        <v>-1.4230575076100704E-2</v>
      </c>
      <c r="AA116" s="19">
        <f t="shared" si="21"/>
        <v>8.5057134686129581E-4</v>
      </c>
      <c r="AB116" s="45">
        <f t="shared" si="35"/>
        <v>-4.5188469114963992E-3</v>
      </c>
      <c r="AC116" s="81">
        <f t="shared" si="37"/>
        <v>6540622.9384836378</v>
      </c>
      <c r="AD116" s="81"/>
    </row>
    <row r="117" spans="2:30">
      <c r="B117" s="8">
        <f>[1]world_population_Raw_Data!B110</f>
        <v>109</v>
      </c>
      <c r="C117" s="9" t="str">
        <f>[1]world_population_Raw_Data!D110</f>
        <v>Paraguay</v>
      </c>
      <c r="D117" s="10" t="str">
        <f>[1]world_population_Raw_Data!F110</f>
        <v>South America</v>
      </c>
      <c r="E117" s="11">
        <f>[1]world_population_Raw_Data!N110</f>
        <v>2408787</v>
      </c>
      <c r="F117" s="11">
        <f>[1]world_population_Raw_Data!M110</f>
        <v>3078912</v>
      </c>
      <c r="G117" s="18">
        <f t="shared" si="22"/>
        <v>0.27820018955598813</v>
      </c>
      <c r="H117" s="39">
        <f t="shared" si="23"/>
        <v>1.024849014335941</v>
      </c>
      <c r="I117" s="11">
        <f>[1]world_population_Raw_Data!L110</f>
        <v>4059195</v>
      </c>
      <c r="J117" s="18">
        <f t="shared" si="24"/>
        <v>0.31838617017959592</v>
      </c>
      <c r="K117" s="39">
        <f t="shared" si="25"/>
        <v>1.0280263911482455</v>
      </c>
      <c r="L117" s="11">
        <f>[1]world_population_Raw_Data!K110</f>
        <v>5123819</v>
      </c>
      <c r="M117" s="18">
        <f t="shared" si="26"/>
        <v>0.26227466283339429</v>
      </c>
      <c r="N117" s="39">
        <f t="shared" si="27"/>
        <v>2.3564904256264674E-2</v>
      </c>
      <c r="O117" s="11">
        <f>[1]world_population_Raw_Data!J110</f>
        <v>5768613</v>
      </c>
      <c r="P117" s="18">
        <f t="shared" si="28"/>
        <v>0.12584246242890312</v>
      </c>
      <c r="Q117" s="39">
        <f t="shared" si="29"/>
        <v>1.1923688184420245E-2</v>
      </c>
      <c r="R117" s="11">
        <f>[1]world_population_Raw_Data!I110</f>
        <v>6177950</v>
      </c>
      <c r="S117" s="18">
        <f t="shared" si="30"/>
        <v>7.0959344993328552E-2</v>
      </c>
      <c r="T117" s="39">
        <f t="shared" si="31"/>
        <v>1.380539253976365E-2</v>
      </c>
      <c r="U117" s="11">
        <f>[1]world_population_Raw_Data!H110</f>
        <v>6618695</v>
      </c>
      <c r="V117" s="18">
        <f t="shared" si="32"/>
        <v>7.1341626267613048E-2</v>
      </c>
      <c r="W117" s="39">
        <f t="shared" si="33"/>
        <v>1.3877758217323732E-2</v>
      </c>
      <c r="X117" s="11">
        <f>[1]world_population_Raw_Data!G110</f>
        <v>6780744</v>
      </c>
      <c r="Y117" s="18">
        <f t="shared" si="20"/>
        <v>2.4483527341870263E-2</v>
      </c>
      <c r="Z117" s="39">
        <f t="shared" si="34"/>
        <v>1.2167736761980574E-2</v>
      </c>
      <c r="AA117" s="19">
        <f t="shared" si="21"/>
        <v>8.5041971786027572E-4</v>
      </c>
      <c r="AB117" s="45">
        <f t="shared" si="35"/>
        <v>2.0102532998212075E-2</v>
      </c>
      <c r="AC117" s="81">
        <f t="shared" si="37"/>
        <v>7951113.5558558311</v>
      </c>
      <c r="AD117" s="81"/>
    </row>
    <row r="118" spans="2:30">
      <c r="B118" s="8">
        <f>[1]world_population_Raw_Data!B111</f>
        <v>110</v>
      </c>
      <c r="C118" s="9" t="str">
        <f>[1]world_population_Raw_Data!D111</f>
        <v>Kyrgyzstan</v>
      </c>
      <c r="D118" s="10" t="str">
        <f>[1]world_population_Raw_Data!F111</f>
        <v>Asia</v>
      </c>
      <c r="E118" s="11">
        <f>[1]world_population_Raw_Data!N111</f>
        <v>3016384</v>
      </c>
      <c r="F118" s="11">
        <f>[1]world_population_Raw_Data!M111</f>
        <v>3691209</v>
      </c>
      <c r="G118" s="18">
        <f t="shared" si="22"/>
        <v>0.22371985794912053</v>
      </c>
      <c r="H118" s="39">
        <f t="shared" si="23"/>
        <v>1.0203947154452124</v>
      </c>
      <c r="I118" s="11">
        <f>[1]world_population_Raw_Data!L111</f>
        <v>4394734</v>
      </c>
      <c r="J118" s="18">
        <f t="shared" si="24"/>
        <v>0.19059473467907129</v>
      </c>
      <c r="K118" s="39">
        <f t="shared" si="25"/>
        <v>1.0175983538583571</v>
      </c>
      <c r="L118" s="11">
        <f>[1]world_population_Raw_Data!K111</f>
        <v>4935182</v>
      </c>
      <c r="M118" s="18">
        <f t="shared" si="26"/>
        <v>0.12297627114633104</v>
      </c>
      <c r="N118" s="39">
        <f t="shared" si="27"/>
        <v>1.1665775107578602E-2</v>
      </c>
      <c r="O118" s="11">
        <f>[1]world_population_Raw_Data!J111</f>
        <v>5483774</v>
      </c>
      <c r="P118" s="18">
        <f t="shared" si="28"/>
        <v>0.11115942633929204</v>
      </c>
      <c r="Q118" s="39">
        <f t="shared" si="29"/>
        <v>1.059614554470012E-2</v>
      </c>
      <c r="R118" s="11">
        <f>[1]world_population_Raw_Data!I111</f>
        <v>5914980</v>
      </c>
      <c r="S118" s="18">
        <f t="shared" si="30"/>
        <v>7.8633072770686763E-2</v>
      </c>
      <c r="T118" s="39">
        <f t="shared" si="31"/>
        <v>1.5254087041935538E-2</v>
      </c>
      <c r="U118" s="11">
        <f>[1]world_population_Raw_Data!H111</f>
        <v>6424874</v>
      </c>
      <c r="V118" s="18">
        <f t="shared" si="32"/>
        <v>8.6203841771231693E-2</v>
      </c>
      <c r="W118" s="39">
        <f t="shared" si="33"/>
        <v>1.6675286765204023E-2</v>
      </c>
      <c r="X118" s="11">
        <f>[1]world_population_Raw_Data!G111</f>
        <v>6630623</v>
      </c>
      <c r="Y118" s="18">
        <f t="shared" si="20"/>
        <v>3.2023818677222309E-2</v>
      </c>
      <c r="Z118" s="39">
        <f t="shared" si="34"/>
        <v>1.5885731112127877E-2</v>
      </c>
      <c r="AA118" s="19">
        <f t="shared" si="21"/>
        <v>8.3159201127455261E-4</v>
      </c>
      <c r="AB118" s="45">
        <f t="shared" si="35"/>
        <v>1.5262219177825775E-2</v>
      </c>
      <c r="AC118" s="81">
        <f t="shared" si="37"/>
        <v>7484798.9099354297</v>
      </c>
      <c r="AD118" s="81"/>
    </row>
    <row r="119" spans="2:30">
      <c r="B119" s="8">
        <f>[1]world_population_Raw_Data!B112</f>
        <v>111</v>
      </c>
      <c r="C119" s="9" t="str">
        <f>[1]world_population_Raw_Data!D112</f>
        <v>Turkmenistan</v>
      </c>
      <c r="D119" s="10" t="str">
        <f>[1]world_population_Raw_Data!F112</f>
        <v>Asia</v>
      </c>
      <c r="E119" s="11">
        <f>[1]world_population_Raw_Data!N112</f>
        <v>2201432</v>
      </c>
      <c r="F119" s="11">
        <f>[1]world_population_Raw_Data!M112</f>
        <v>2862903</v>
      </c>
      <c r="G119" s="18">
        <f t="shared" si="22"/>
        <v>0.30047305572009492</v>
      </c>
      <c r="H119" s="39">
        <f t="shared" si="23"/>
        <v>1.0266209814392413</v>
      </c>
      <c r="I119" s="11">
        <f>[1]world_population_Raw_Data!L112</f>
        <v>3720278</v>
      </c>
      <c r="J119" s="18">
        <f t="shared" si="24"/>
        <v>0.29947748840949207</v>
      </c>
      <c r="K119" s="39">
        <f t="shared" si="25"/>
        <v>1.0265423621588963</v>
      </c>
      <c r="L119" s="11">
        <f>[1]world_population_Raw_Data!K112</f>
        <v>4569132</v>
      </c>
      <c r="M119" s="18">
        <f t="shared" si="26"/>
        <v>0.22816950776259193</v>
      </c>
      <c r="N119" s="39">
        <f t="shared" si="27"/>
        <v>2.0765142291480743E-2</v>
      </c>
      <c r="O119" s="11">
        <f>[1]world_population_Raw_Data!J112</f>
        <v>5267970</v>
      </c>
      <c r="P119" s="18">
        <f t="shared" si="28"/>
        <v>0.15294764957545548</v>
      </c>
      <c r="Q119" s="39">
        <f t="shared" si="29"/>
        <v>1.4333943366256818E-2</v>
      </c>
      <c r="R119" s="11">
        <f>[1]world_population_Raw_Data!I112</f>
        <v>5766431</v>
      </c>
      <c r="S119" s="18">
        <f t="shared" si="30"/>
        <v>9.4621077948431748E-2</v>
      </c>
      <c r="T119" s="39">
        <f t="shared" si="31"/>
        <v>1.8246113981045475E-2</v>
      </c>
      <c r="U119" s="11">
        <f>[1]world_population_Raw_Data!H112</f>
        <v>6250438</v>
      </c>
      <c r="V119" s="18">
        <f t="shared" si="32"/>
        <v>8.3935279898432844E-2</v>
      </c>
      <c r="W119" s="39">
        <f t="shared" si="33"/>
        <v>1.6250261571581603E-2</v>
      </c>
      <c r="X119" s="11">
        <f>[1]world_population_Raw_Data!G112</f>
        <v>6430770</v>
      </c>
      <c r="Y119" s="18">
        <f t="shared" si="20"/>
        <v>2.8851098115044098E-2</v>
      </c>
      <c r="Z119" s="39">
        <f t="shared" si="34"/>
        <v>1.4322975247551106E-2</v>
      </c>
      <c r="AA119" s="19">
        <f t="shared" si="21"/>
        <v>8.0652707269649544E-4</v>
      </c>
      <c r="AB119" s="45">
        <f t="shared" si="35"/>
        <v>2.082907901924913E-2</v>
      </c>
      <c r="AC119" s="81">
        <f t="shared" si="37"/>
        <v>7583806.4202278163</v>
      </c>
      <c r="AD119" s="81"/>
    </row>
    <row r="120" spans="2:30">
      <c r="B120" s="8">
        <f>[1]world_population_Raw_Data!B113</f>
        <v>112</v>
      </c>
      <c r="C120" s="9" t="str">
        <f>[1]world_population_Raw_Data!D113</f>
        <v>El Salvador</v>
      </c>
      <c r="D120" s="10" t="str">
        <f>[1]world_population_Raw_Data!F113</f>
        <v>North America</v>
      </c>
      <c r="E120" s="11">
        <f>[1]world_population_Raw_Data!N113</f>
        <v>3619090</v>
      </c>
      <c r="F120" s="11">
        <f>[1]world_population_Raw_Data!M113</f>
        <v>4508992</v>
      </c>
      <c r="G120" s="18">
        <f t="shared" si="22"/>
        <v>0.24589109417008143</v>
      </c>
      <c r="H120" s="39">
        <f t="shared" si="23"/>
        <v>1.0222285543973539</v>
      </c>
      <c r="I120" s="11">
        <f>[1]world_population_Raw_Data!L113</f>
        <v>5367179</v>
      </c>
      <c r="J120" s="18">
        <f t="shared" si="24"/>
        <v>0.19032790477339503</v>
      </c>
      <c r="K120" s="39">
        <f t="shared" si="25"/>
        <v>1.0175755456724505</v>
      </c>
      <c r="L120" s="11">
        <f>[1]world_population_Raw_Data!K113</f>
        <v>5958482</v>
      </c>
      <c r="M120" s="18">
        <f t="shared" si="26"/>
        <v>0.11017016574256235</v>
      </c>
      <c r="N120" s="39">
        <f t="shared" si="27"/>
        <v>1.0506136525435306E-2</v>
      </c>
      <c r="O120" s="11">
        <f>[1]world_population_Raw_Data!J113</f>
        <v>6114034</v>
      </c>
      <c r="P120" s="18">
        <f t="shared" si="28"/>
        <v>2.61059779990944E-2</v>
      </c>
      <c r="Q120" s="39">
        <f t="shared" si="29"/>
        <v>2.5804269664859714E-3</v>
      </c>
      <c r="R120" s="11">
        <f>[1]world_population_Raw_Data!I113</f>
        <v>6231066</v>
      </c>
      <c r="S120" s="18">
        <f t="shared" si="30"/>
        <v>1.9141535686585977E-2</v>
      </c>
      <c r="T120" s="39">
        <f t="shared" si="31"/>
        <v>3.7993274646832553E-3</v>
      </c>
      <c r="U120" s="11">
        <f>[1]world_population_Raw_Data!H113</f>
        <v>6292731</v>
      </c>
      <c r="V120" s="18">
        <f t="shared" si="32"/>
        <v>9.8963804909143957E-3</v>
      </c>
      <c r="W120" s="39">
        <f t="shared" si="33"/>
        <v>1.971487233840552E-3</v>
      </c>
      <c r="X120" s="11">
        <f>[1]world_population_Raw_Data!G113</f>
        <v>6336392</v>
      </c>
      <c r="Y120" s="18">
        <f t="shared" si="20"/>
        <v>6.9383229634319343E-3</v>
      </c>
      <c r="Z120" s="39">
        <f t="shared" si="34"/>
        <v>3.4631647267535648E-3</v>
      </c>
      <c r="AA120" s="19">
        <f t="shared" si="21"/>
        <v>7.9469047893448096E-4</v>
      </c>
      <c r="AB120" s="45">
        <f t="shared" si="35"/>
        <v>1.082911706941414E-2</v>
      </c>
      <c r="AC120" s="81">
        <f>X120*(1+AB120)^8</f>
        <v>6906594.9013726404</v>
      </c>
      <c r="AD120" s="81"/>
    </row>
    <row r="121" spans="2:30">
      <c r="B121" s="8">
        <f>[1]world_population_Raw_Data!B114</f>
        <v>113</v>
      </c>
      <c r="C121" s="9" t="str">
        <f>[1]world_population_Raw_Data!D114</f>
        <v>Singapore</v>
      </c>
      <c r="D121" s="10" t="str">
        <f>[1]world_population_Raw_Data!F114</f>
        <v>Asia</v>
      </c>
      <c r="E121" s="11">
        <f>[1]world_population_Raw_Data!N114</f>
        <v>2061831</v>
      </c>
      <c r="F121" s="11">
        <f>[1]world_population_Raw_Data!M114</f>
        <v>2400729</v>
      </c>
      <c r="G121" s="18">
        <f t="shared" si="22"/>
        <v>0.16436749665709749</v>
      </c>
      <c r="H121" s="39">
        <f t="shared" si="23"/>
        <v>1.0153341821736293</v>
      </c>
      <c r="I121" s="11">
        <f>[1]world_population_Raw_Data!L114</f>
        <v>3022209</v>
      </c>
      <c r="J121" s="18">
        <f t="shared" si="24"/>
        <v>0.25887136782202408</v>
      </c>
      <c r="K121" s="39">
        <f t="shared" si="25"/>
        <v>1.0232885993369139</v>
      </c>
      <c r="L121" s="11">
        <f>[1]world_population_Raw_Data!K114</f>
        <v>4053602</v>
      </c>
      <c r="M121" s="18">
        <f t="shared" si="26"/>
        <v>0.34127123570871504</v>
      </c>
      <c r="N121" s="39">
        <f t="shared" si="27"/>
        <v>2.979709198410152E-2</v>
      </c>
      <c r="O121" s="11">
        <f>[1]world_population_Raw_Data!J114</f>
        <v>5163590</v>
      </c>
      <c r="P121" s="18">
        <f t="shared" si="28"/>
        <v>0.27382757359997356</v>
      </c>
      <c r="Q121" s="39">
        <f t="shared" si="29"/>
        <v>2.4497881180362224E-2</v>
      </c>
      <c r="R121" s="11">
        <f>[1]world_population_Raw_Data!I114</f>
        <v>5650018</v>
      </c>
      <c r="S121" s="18">
        <f t="shared" si="30"/>
        <v>9.4203451474652325E-2</v>
      </c>
      <c r="T121" s="39">
        <f t="shared" si="31"/>
        <v>1.8168404634038682E-2</v>
      </c>
      <c r="U121" s="11">
        <f>[1]world_population_Raw_Data!H114</f>
        <v>5909869</v>
      </c>
      <c r="V121" s="18">
        <f t="shared" si="32"/>
        <v>4.599118091305196E-2</v>
      </c>
      <c r="W121" s="39">
        <f t="shared" si="33"/>
        <v>9.0335452671834737E-3</v>
      </c>
      <c r="X121" s="11">
        <f>[1]world_population_Raw_Data!G114</f>
        <v>5975689</v>
      </c>
      <c r="Y121" s="18">
        <f t="shared" si="20"/>
        <v>1.1137302705017657E-2</v>
      </c>
      <c r="Z121" s="39">
        <f t="shared" si="34"/>
        <v>5.5532321588041E-3</v>
      </c>
      <c r="AA121" s="19">
        <f t="shared" si="21"/>
        <v>7.4945223612641221E-4</v>
      </c>
      <c r="AB121" s="45">
        <f t="shared" si="35"/>
        <v>2.0674371482690468E-2</v>
      </c>
      <c r="AC121" s="81">
        <f t="shared" ref="AC121:AC142" si="38">X121*(1+AB121)^8</f>
        <v>7038589.9840034461</v>
      </c>
      <c r="AD121" s="81"/>
    </row>
    <row r="122" spans="2:30">
      <c r="B122" s="8">
        <f>[1]world_population_Raw_Data!B115</f>
        <v>114</v>
      </c>
      <c r="C122" s="9" t="str">
        <f>[1]world_population_Raw_Data!D115</f>
        <v>Republic of the Congo</v>
      </c>
      <c r="D122" s="10" t="str">
        <f>[1]world_population_Raw_Data!F115</f>
        <v>Africa</v>
      </c>
      <c r="E122" s="11">
        <f>[1]world_population_Raw_Data!N115</f>
        <v>1396989</v>
      </c>
      <c r="F122" s="11">
        <f>[1]world_population_Raw_Data!M115</f>
        <v>1829256</v>
      </c>
      <c r="G122" s="18">
        <f t="shared" si="22"/>
        <v>0.30942763328845108</v>
      </c>
      <c r="H122" s="39">
        <f t="shared" si="23"/>
        <v>1.0273256939346984</v>
      </c>
      <c r="I122" s="11">
        <f>[1]world_population_Raw_Data!L115</f>
        <v>2385435</v>
      </c>
      <c r="J122" s="18">
        <f t="shared" si="24"/>
        <v>0.30404656319290463</v>
      </c>
      <c r="K122" s="39">
        <f t="shared" si="25"/>
        <v>1.0269027334692991</v>
      </c>
      <c r="L122" s="11">
        <f>[1]world_population_Raw_Data!K115</f>
        <v>3134030</v>
      </c>
      <c r="M122" s="18">
        <f t="shared" si="26"/>
        <v>0.31381907283158</v>
      </c>
      <c r="N122" s="39">
        <f t="shared" si="27"/>
        <v>2.7669710241041034E-2</v>
      </c>
      <c r="O122" s="11">
        <f>[1]world_population_Raw_Data!J115</f>
        <v>4437884</v>
      </c>
      <c r="P122" s="18">
        <f t="shared" si="28"/>
        <v>0.4160311164858026</v>
      </c>
      <c r="Q122" s="39">
        <f t="shared" si="29"/>
        <v>3.5397899702838354E-2</v>
      </c>
      <c r="R122" s="11">
        <f>[1]world_population_Raw_Data!I115</f>
        <v>5064386</v>
      </c>
      <c r="S122" s="18">
        <f t="shared" si="30"/>
        <v>0.14117133300464815</v>
      </c>
      <c r="T122" s="39">
        <f t="shared" si="31"/>
        <v>2.6762906477299842E-2</v>
      </c>
      <c r="U122" s="11">
        <f>[1]world_population_Raw_Data!H115</f>
        <v>5702174</v>
      </c>
      <c r="V122" s="18">
        <f t="shared" si="32"/>
        <v>0.12593589825104168</v>
      </c>
      <c r="W122" s="39">
        <f t="shared" si="33"/>
        <v>2.4006546715342525E-2</v>
      </c>
      <c r="X122" s="11">
        <f>[1]world_population_Raw_Data!G115</f>
        <v>5970424</v>
      </c>
      <c r="Y122" s="18">
        <f t="shared" si="20"/>
        <v>4.7043460967694073E-2</v>
      </c>
      <c r="Z122" s="39">
        <f t="shared" si="34"/>
        <v>2.3251416303781136E-2</v>
      </c>
      <c r="AA122" s="19">
        <f t="shared" si="21"/>
        <v>7.4879191628326016E-4</v>
      </c>
      <c r="AB122" s="45">
        <f t="shared" si="35"/>
        <v>2.8326442901922322E-2</v>
      </c>
      <c r="AC122" s="81">
        <f t="shared" si="38"/>
        <v>7465402.0783296563</v>
      </c>
      <c r="AD122" s="81"/>
    </row>
    <row r="123" spans="2:30">
      <c r="B123" s="8">
        <f>[1]world_population_Raw_Data!B116</f>
        <v>115</v>
      </c>
      <c r="C123" s="9" t="str">
        <f>[1]world_population_Raw_Data!D116</f>
        <v>Denmark</v>
      </c>
      <c r="D123" s="10" t="str">
        <f>[1]world_population_Raw_Data!F116</f>
        <v>Europe</v>
      </c>
      <c r="E123" s="11">
        <f>[1]world_population_Raw_Data!N116</f>
        <v>4922963</v>
      </c>
      <c r="F123" s="11">
        <f>[1]world_population_Raw_Data!M116</f>
        <v>5125392</v>
      </c>
      <c r="G123" s="18">
        <f t="shared" si="22"/>
        <v>4.1119342152276993E-2</v>
      </c>
      <c r="H123" s="39">
        <f t="shared" si="23"/>
        <v>1.0040377724157536</v>
      </c>
      <c r="I123" s="11">
        <f>[1]world_population_Raw_Data!L116</f>
        <v>5144623</v>
      </c>
      <c r="J123" s="18">
        <f t="shared" si="24"/>
        <v>3.7521032537608831E-3</v>
      </c>
      <c r="K123" s="39">
        <f t="shared" si="25"/>
        <v>1.0003745783042055</v>
      </c>
      <c r="L123" s="11">
        <f>[1]world_population_Raw_Data!K116</f>
        <v>5340655</v>
      </c>
      <c r="M123" s="18">
        <f t="shared" si="26"/>
        <v>3.8104249815778535E-2</v>
      </c>
      <c r="N123" s="39">
        <f t="shared" si="27"/>
        <v>3.74662241311019E-3</v>
      </c>
      <c r="O123" s="11">
        <f>[1]world_population_Raw_Data!J116</f>
        <v>5550849</v>
      </c>
      <c r="P123" s="18">
        <f t="shared" si="28"/>
        <v>3.9357344745167028E-2</v>
      </c>
      <c r="Q123" s="39">
        <f t="shared" si="29"/>
        <v>3.8677188348117397E-3</v>
      </c>
      <c r="R123" s="11">
        <f>[1]world_population_Raw_Data!I116</f>
        <v>5677796</v>
      </c>
      <c r="S123" s="18">
        <f t="shared" si="30"/>
        <v>2.2869834866702372E-2</v>
      </c>
      <c r="T123" s="39">
        <f t="shared" si="31"/>
        <v>4.5326897474295968E-3</v>
      </c>
      <c r="U123" s="11">
        <f>[1]world_population_Raw_Data!H116</f>
        <v>5825641</v>
      </c>
      <c r="V123" s="18">
        <f t="shared" si="32"/>
        <v>2.6039153220721561E-2</v>
      </c>
      <c r="W123" s="39">
        <f t="shared" si="33"/>
        <v>5.1544199615511932E-3</v>
      </c>
      <c r="X123" s="11">
        <f>[1]world_population_Raw_Data!G116</f>
        <v>5882261</v>
      </c>
      <c r="Y123" s="18">
        <f t="shared" si="20"/>
        <v>9.7191021554537942E-3</v>
      </c>
      <c r="Z123" s="39">
        <f t="shared" si="34"/>
        <v>4.8478004929173313E-3</v>
      </c>
      <c r="AA123" s="19">
        <f t="shared" si="21"/>
        <v>7.3773478839497602E-4</v>
      </c>
      <c r="AB123" s="45">
        <f t="shared" si="35"/>
        <v>3.4295333383196347E-3</v>
      </c>
      <c r="AC123" s="81">
        <f t="shared" si="38"/>
        <v>6045598.8167916751</v>
      </c>
      <c r="AD123" s="81"/>
    </row>
    <row r="124" spans="2:30">
      <c r="B124" s="8">
        <f>[1]world_population_Raw_Data!B117</f>
        <v>116</v>
      </c>
      <c r="C124" s="9" t="str">
        <f>[1]world_population_Raw_Data!D117</f>
        <v>Slovakia</v>
      </c>
      <c r="D124" s="10" t="str">
        <f>[1]world_population_Raw_Data!F117</f>
        <v>Europe</v>
      </c>
      <c r="E124" s="11">
        <f>[1]world_population_Raw_Data!N117</f>
        <v>4522867</v>
      </c>
      <c r="F124" s="11">
        <f>[1]world_population_Raw_Data!M117</f>
        <v>4973883</v>
      </c>
      <c r="G124" s="18">
        <f t="shared" si="22"/>
        <v>9.9719049885835687E-2</v>
      </c>
      <c r="H124" s="39">
        <f t="shared" si="23"/>
        <v>1.0095507942985726</v>
      </c>
      <c r="I124" s="11">
        <f>[1]world_population_Raw_Data!L117</f>
        <v>5261305</v>
      </c>
      <c r="J124" s="18">
        <f t="shared" si="24"/>
        <v>5.778624064940812E-2</v>
      </c>
      <c r="K124" s="39">
        <f t="shared" si="25"/>
        <v>1.0056336367874534</v>
      </c>
      <c r="L124" s="11">
        <f>[1]world_population_Raw_Data!K117</f>
        <v>5376690</v>
      </c>
      <c r="M124" s="18">
        <f t="shared" si="26"/>
        <v>2.1930870763052134E-2</v>
      </c>
      <c r="N124" s="39">
        <f t="shared" si="27"/>
        <v>2.1717396539817635E-3</v>
      </c>
      <c r="O124" s="11">
        <f>[1]world_population_Raw_Data!J117</f>
        <v>5396424</v>
      </c>
      <c r="P124" s="18">
        <f t="shared" si="28"/>
        <v>3.6702878536794942E-3</v>
      </c>
      <c r="Q124" s="39">
        <f t="shared" si="29"/>
        <v>3.6642399515840474E-4</v>
      </c>
      <c r="R124" s="11">
        <f>[1]world_population_Raw_Data!I117</f>
        <v>5424444</v>
      </c>
      <c r="S124" s="18">
        <f t="shared" si="30"/>
        <v>5.1923273634540204E-3</v>
      </c>
      <c r="T124" s="39">
        <f t="shared" si="31"/>
        <v>1.0363153466410591E-3</v>
      </c>
      <c r="U124" s="11">
        <f>[1]world_population_Raw_Data!H117</f>
        <v>5456681</v>
      </c>
      <c r="V124" s="18">
        <f t="shared" si="32"/>
        <v>5.9429132276045248E-3</v>
      </c>
      <c r="W124" s="39">
        <f t="shared" si="33"/>
        <v>1.1857672212558512E-3</v>
      </c>
      <c r="X124" s="11">
        <f>[1]world_population_Raw_Data!G117</f>
        <v>5643453</v>
      </c>
      <c r="Y124" s="18">
        <f t="shared" si="20"/>
        <v>3.422813244901067E-2</v>
      </c>
      <c r="Z124" s="39">
        <f t="shared" si="34"/>
        <v>1.6970074510066713E-2</v>
      </c>
      <c r="AA124" s="19">
        <f t="shared" si="21"/>
        <v>7.0778423547883927E-4</v>
      </c>
      <c r="AB124" s="45">
        <f t="shared" si="35"/>
        <v>4.2658040459073732E-3</v>
      </c>
      <c r="AC124" s="81">
        <f t="shared" si="38"/>
        <v>5838944.0234303838</v>
      </c>
      <c r="AD124" s="81"/>
    </row>
    <row r="125" spans="2:30">
      <c r="B125" s="8">
        <f>[1]world_population_Raw_Data!B118</f>
        <v>117</v>
      </c>
      <c r="C125" s="9" t="str">
        <f>[1]world_population_Raw_Data!D118</f>
        <v>Central African Republic</v>
      </c>
      <c r="D125" s="10" t="str">
        <f>[1]world_population_Raw_Data!F118</f>
        <v>Africa</v>
      </c>
      <c r="E125" s="11">
        <f>[1]world_population_Raw_Data!N118</f>
        <v>2067356</v>
      </c>
      <c r="F125" s="11">
        <f>[1]world_population_Raw_Data!M118</f>
        <v>2415276</v>
      </c>
      <c r="G125" s="18">
        <f t="shared" si="22"/>
        <v>0.1682922534870627</v>
      </c>
      <c r="H125" s="39">
        <f t="shared" si="23"/>
        <v>1.0156759048855291</v>
      </c>
      <c r="I125" s="11">
        <f>[1]world_population_Raw_Data!L118</f>
        <v>2809221</v>
      </c>
      <c r="J125" s="18">
        <f t="shared" si="24"/>
        <v>0.16310558296443139</v>
      </c>
      <c r="K125" s="39">
        <f t="shared" si="25"/>
        <v>1.0152240889761128</v>
      </c>
      <c r="L125" s="11">
        <f>[1]world_population_Raw_Data!K118</f>
        <v>3759170</v>
      </c>
      <c r="M125" s="18">
        <f t="shared" si="26"/>
        <v>0.33815388678925579</v>
      </c>
      <c r="N125" s="39">
        <f t="shared" si="27"/>
        <v>2.9557498437674967E-2</v>
      </c>
      <c r="O125" s="11">
        <f>[1]world_population_Raw_Data!J118</f>
        <v>4660067</v>
      </c>
      <c r="P125" s="18">
        <f t="shared" si="28"/>
        <v>0.23965316811955831</v>
      </c>
      <c r="Q125" s="39">
        <f t="shared" si="29"/>
        <v>2.1715588319537016E-2</v>
      </c>
      <c r="R125" s="11">
        <f>[1]world_population_Raw_Data!I118</f>
        <v>4819333</v>
      </c>
      <c r="S125" s="18">
        <f t="shared" si="30"/>
        <v>3.4176761836256862E-2</v>
      </c>
      <c r="T125" s="39">
        <f t="shared" si="31"/>
        <v>6.7437797701248581E-3</v>
      </c>
      <c r="U125" s="11">
        <f>[1]world_population_Raw_Data!H118</f>
        <v>5343020</v>
      </c>
      <c r="V125" s="18">
        <f t="shared" si="32"/>
        <v>0.10866379227166913</v>
      </c>
      <c r="W125" s="39">
        <f t="shared" si="33"/>
        <v>2.084539218741388E-2</v>
      </c>
      <c r="X125" s="11">
        <f>[1]world_population_Raw_Data!G118</f>
        <v>5579144</v>
      </c>
      <c r="Y125" s="18">
        <f t="shared" si="20"/>
        <v>4.4192984491916554E-2</v>
      </c>
      <c r="Z125" s="39">
        <f t="shared" si="34"/>
        <v>2.185761458821478E-2</v>
      </c>
      <c r="AA125" s="19">
        <f t="shared" si="21"/>
        <v>6.9971880170993769E-4</v>
      </c>
      <c r="AB125" s="45">
        <f t="shared" si="35"/>
        <v>1.9275042538371645E-2</v>
      </c>
      <c r="AC125" s="81">
        <f t="shared" si="38"/>
        <v>6499780.5547455233</v>
      </c>
      <c r="AD125" s="81"/>
    </row>
    <row r="126" spans="2:30">
      <c r="B126" s="8">
        <f>[1]world_population_Raw_Data!B119</f>
        <v>118</v>
      </c>
      <c r="C126" s="9" t="str">
        <f>[1]world_population_Raw_Data!D119</f>
        <v>Finland</v>
      </c>
      <c r="D126" s="10" t="str">
        <f>[1]world_population_Raw_Data!F119</f>
        <v>Europe</v>
      </c>
      <c r="E126" s="11">
        <f>[1]world_population_Raw_Data!N119</f>
        <v>4606621</v>
      </c>
      <c r="F126" s="11">
        <f>[1]world_population_Raw_Data!M119</f>
        <v>4779418</v>
      </c>
      <c r="G126" s="18">
        <f t="shared" si="22"/>
        <v>3.7510574453596249E-2</v>
      </c>
      <c r="H126" s="39">
        <f t="shared" si="23"/>
        <v>1.0036892049573225</v>
      </c>
      <c r="I126" s="11">
        <f>[1]world_population_Raw_Data!L119</f>
        <v>4986545</v>
      </c>
      <c r="J126" s="18">
        <f t="shared" si="24"/>
        <v>4.3337284999972803E-2</v>
      </c>
      <c r="K126" s="39">
        <f t="shared" si="25"/>
        <v>1.0042514622738377</v>
      </c>
      <c r="L126" s="11">
        <f>[1]world_population_Raw_Data!K119</f>
        <v>5176209</v>
      </c>
      <c r="M126" s="18">
        <f t="shared" si="26"/>
        <v>3.8035152595634857E-2</v>
      </c>
      <c r="N126" s="39">
        <f t="shared" si="27"/>
        <v>3.7399411786560588E-3</v>
      </c>
      <c r="O126" s="11">
        <f>[1]world_population_Raw_Data!J119</f>
        <v>5363271</v>
      </c>
      <c r="P126" s="18">
        <f t="shared" si="28"/>
        <v>3.6138803514309412E-2</v>
      </c>
      <c r="Q126" s="39">
        <f t="shared" si="29"/>
        <v>3.5564206185587643E-3</v>
      </c>
      <c r="R126" s="11">
        <f>[1]world_population_Raw_Data!I119</f>
        <v>5479461</v>
      </c>
      <c r="S126" s="18">
        <f t="shared" si="30"/>
        <v>2.1664018096419144E-2</v>
      </c>
      <c r="T126" s="39">
        <f t="shared" si="31"/>
        <v>4.295738006775851E-3</v>
      </c>
      <c r="U126" s="11">
        <f>[1]world_population_Raw_Data!H119</f>
        <v>5529468</v>
      </c>
      <c r="V126" s="18">
        <f t="shared" si="32"/>
        <v>9.1262626013763025E-3</v>
      </c>
      <c r="W126" s="39">
        <f t="shared" si="33"/>
        <v>1.8186256807561918E-3</v>
      </c>
      <c r="X126" s="11">
        <f>[1]world_population_Raw_Data!G119</f>
        <v>5540745</v>
      </c>
      <c r="Y126" s="18">
        <f t="shared" si="20"/>
        <v>2.0394367053032949E-3</v>
      </c>
      <c r="Z126" s="39">
        <f t="shared" si="34"/>
        <v>1.0191989693821846E-3</v>
      </c>
      <c r="AA126" s="19">
        <f t="shared" si="21"/>
        <v>6.9490291915396503E-4</v>
      </c>
      <c r="AB126" s="45">
        <f t="shared" si="35"/>
        <v>3.5569716741854496E-3</v>
      </c>
      <c r="AC126" s="81">
        <f t="shared" si="38"/>
        <v>5700388.0595420795</v>
      </c>
      <c r="AD126" s="81"/>
    </row>
    <row r="127" spans="2:30">
      <c r="B127" s="8">
        <f>[1]world_population_Raw_Data!B120</f>
        <v>119</v>
      </c>
      <c r="C127" s="9" t="str">
        <f>[1]world_population_Raw_Data!D120</f>
        <v>Lebanon</v>
      </c>
      <c r="D127" s="10" t="str">
        <f>[1]world_population_Raw_Data!F120</f>
        <v>Asia</v>
      </c>
      <c r="E127" s="11">
        <f>[1]world_population_Raw_Data!N120</f>
        <v>2381791</v>
      </c>
      <c r="F127" s="11">
        <f>[1]world_population_Raw_Data!M120</f>
        <v>2963702</v>
      </c>
      <c r="G127" s="18">
        <f t="shared" si="22"/>
        <v>0.24431656681883507</v>
      </c>
      <c r="H127" s="39">
        <f t="shared" si="23"/>
        <v>1.0220992940715017</v>
      </c>
      <c r="I127" s="11">
        <f>[1]world_population_Raw_Data!L120</f>
        <v>3593700</v>
      </c>
      <c r="J127" s="18">
        <f t="shared" si="24"/>
        <v>0.21257130440239944</v>
      </c>
      <c r="K127" s="39">
        <f t="shared" si="25"/>
        <v>1.0194612637661244</v>
      </c>
      <c r="L127" s="11">
        <f>[1]world_population_Raw_Data!K120</f>
        <v>4320642</v>
      </c>
      <c r="M127" s="18">
        <f t="shared" si="26"/>
        <v>0.20228232740629434</v>
      </c>
      <c r="N127" s="39">
        <f t="shared" si="27"/>
        <v>1.859290397009028E-2</v>
      </c>
      <c r="O127" s="11">
        <f>[1]world_population_Raw_Data!J120</f>
        <v>4995800</v>
      </c>
      <c r="P127" s="18">
        <f t="shared" si="28"/>
        <v>0.15626335160376628</v>
      </c>
      <c r="Q127" s="39">
        <f t="shared" si="29"/>
        <v>1.4625273554989437E-2</v>
      </c>
      <c r="R127" s="11">
        <f>[1]world_population_Raw_Data!I120</f>
        <v>6398940</v>
      </c>
      <c r="S127" s="18">
        <f t="shared" si="30"/>
        <v>0.28086392569758595</v>
      </c>
      <c r="T127" s="39">
        <f t="shared" si="31"/>
        <v>5.0752903792918858E-2</v>
      </c>
      <c r="U127" s="11">
        <f>[1]world_population_Raw_Data!H120</f>
        <v>5662923</v>
      </c>
      <c r="V127" s="18">
        <f t="shared" si="32"/>
        <v>-0.11502170672017553</v>
      </c>
      <c r="W127" s="39">
        <f t="shared" si="33"/>
        <v>-2.4142231640562173E-2</v>
      </c>
      <c r="X127" s="11">
        <f>[1]world_population_Raw_Data!G120</f>
        <v>5489739</v>
      </c>
      <c r="Y127" s="18">
        <f t="shared" si="20"/>
        <v>-3.0582086318320063E-2</v>
      </c>
      <c r="Z127" s="39">
        <f t="shared" si="34"/>
        <v>-1.540977372224539E-2</v>
      </c>
      <c r="AA127" s="19">
        <f t="shared" si="21"/>
        <v>6.8850590606378179E-4</v>
      </c>
      <c r="AB127" s="45">
        <f t="shared" si="35"/>
        <v>1.6187856843855375E-2</v>
      </c>
      <c r="AC127" s="81">
        <f t="shared" si="38"/>
        <v>6242286.6006652685</v>
      </c>
      <c r="AD127" s="81"/>
    </row>
    <row r="128" spans="2:30">
      <c r="B128" s="8">
        <f>[1]world_population_Raw_Data!B121</f>
        <v>120</v>
      </c>
      <c r="C128" s="9" t="str">
        <f>[1]world_population_Raw_Data!D121</f>
        <v>Norway</v>
      </c>
      <c r="D128" s="10" t="str">
        <f>[1]world_population_Raw_Data!F121</f>
        <v>Europe</v>
      </c>
      <c r="E128" s="11">
        <f>[1]world_population_Raw_Data!N121</f>
        <v>3875546</v>
      </c>
      <c r="F128" s="11">
        <f>[1]world_population_Raw_Data!M121</f>
        <v>4085776</v>
      </c>
      <c r="G128" s="18">
        <f t="shared" si="22"/>
        <v>5.424525989370272E-2</v>
      </c>
      <c r="H128" s="39">
        <f t="shared" si="23"/>
        <v>1.0052964888102991</v>
      </c>
      <c r="I128" s="11">
        <f>[1]world_population_Raw_Data!L121</f>
        <v>4241636</v>
      </c>
      <c r="J128" s="18">
        <f t="shared" si="24"/>
        <v>3.8146976241477754E-2</v>
      </c>
      <c r="K128" s="39">
        <f t="shared" si="25"/>
        <v>1.0037507535696104</v>
      </c>
      <c r="L128" s="11">
        <f>[1]world_population_Raw_Data!K121</f>
        <v>4491202</v>
      </c>
      <c r="M128" s="18">
        <f t="shared" si="26"/>
        <v>5.8837203380959609E-2</v>
      </c>
      <c r="N128" s="39">
        <f t="shared" si="27"/>
        <v>5.733506799066479E-3</v>
      </c>
      <c r="O128" s="11">
        <f>[1]world_population_Raw_Data!J121</f>
        <v>4889741</v>
      </c>
      <c r="P128" s="18">
        <f t="shared" si="28"/>
        <v>8.8737714313451052E-2</v>
      </c>
      <c r="Q128" s="39">
        <f t="shared" si="29"/>
        <v>8.5381402535538164E-3</v>
      </c>
      <c r="R128" s="11">
        <f>[1]world_population_Raw_Data!I121</f>
        <v>5190356</v>
      </c>
      <c r="S128" s="18">
        <f t="shared" si="30"/>
        <v>6.1478716357369442E-2</v>
      </c>
      <c r="T128" s="39">
        <f t="shared" si="31"/>
        <v>1.20040676610218E-2</v>
      </c>
      <c r="U128" s="11">
        <f>[1]world_population_Raw_Data!H121</f>
        <v>5379839</v>
      </c>
      <c r="V128" s="18">
        <f t="shared" si="32"/>
        <v>3.6506744431403164E-2</v>
      </c>
      <c r="W128" s="39">
        <f t="shared" si="33"/>
        <v>7.1970068197830805E-3</v>
      </c>
      <c r="X128" s="11">
        <f>[1]world_population_Raw_Data!G121</f>
        <v>5434319</v>
      </c>
      <c r="Y128" s="18">
        <f t="shared" si="20"/>
        <v>1.0126697100043328E-2</v>
      </c>
      <c r="Z128" s="39">
        <f t="shared" si="34"/>
        <v>5.0505942986369678E-3</v>
      </c>
      <c r="AA128" s="19">
        <f t="shared" si="21"/>
        <v>6.8155530289046979E-4</v>
      </c>
      <c r="AB128" s="45">
        <f t="shared" si="35"/>
        <v>6.5220933152094762E-3</v>
      </c>
      <c r="AC128" s="81">
        <f t="shared" si="38"/>
        <v>5724421.7826597234</v>
      </c>
      <c r="AD128" s="81"/>
    </row>
    <row r="129" spans="2:30">
      <c r="B129" s="8">
        <f>[1]world_population_Raw_Data!B122</f>
        <v>121</v>
      </c>
      <c r="C129" s="9" t="str">
        <f>[1]world_population_Raw_Data!D122</f>
        <v>Liberia</v>
      </c>
      <c r="D129" s="10" t="str">
        <f>[1]world_population_Raw_Data!F122</f>
        <v>Africa</v>
      </c>
      <c r="E129" s="11">
        <f>[1]world_population_Raw_Data!N122</f>
        <v>1463563</v>
      </c>
      <c r="F129" s="11">
        <f>[1]world_population_Raw_Data!M122</f>
        <v>1932169</v>
      </c>
      <c r="G129" s="18">
        <f t="shared" si="22"/>
        <v>0.32018163891817436</v>
      </c>
      <c r="H129" s="39">
        <f t="shared" si="23"/>
        <v>1.0281663091092395</v>
      </c>
      <c r="I129" s="11">
        <f>[1]world_population_Raw_Data!L122</f>
        <v>2209731</v>
      </c>
      <c r="J129" s="18">
        <f t="shared" si="24"/>
        <v>0.1436530655444736</v>
      </c>
      <c r="K129" s="39">
        <f t="shared" si="25"/>
        <v>1.0135132478978106</v>
      </c>
      <c r="L129" s="11">
        <f>[1]world_population_Raw_Data!K122</f>
        <v>2895224</v>
      </c>
      <c r="M129" s="18">
        <f t="shared" si="26"/>
        <v>0.31021558732714527</v>
      </c>
      <c r="N129" s="39">
        <f t="shared" si="27"/>
        <v>2.7387496992181459E-2</v>
      </c>
      <c r="O129" s="11">
        <f>[1]world_population_Raw_Data!J122</f>
        <v>4019956</v>
      </c>
      <c r="P129" s="18">
        <f t="shared" si="28"/>
        <v>0.3884784044343374</v>
      </c>
      <c r="Q129" s="39">
        <f t="shared" si="29"/>
        <v>3.3365392609985944E-2</v>
      </c>
      <c r="R129" s="11">
        <f>[1]world_population_Raw_Data!I122</f>
        <v>4612329</v>
      </c>
      <c r="S129" s="18">
        <f t="shared" si="30"/>
        <v>0.14735808053620486</v>
      </c>
      <c r="T129" s="39">
        <f t="shared" si="31"/>
        <v>2.7873798757453994E-2</v>
      </c>
      <c r="U129" s="11">
        <f>[1]world_population_Raw_Data!H122</f>
        <v>5087584</v>
      </c>
      <c r="V129" s="18">
        <f t="shared" si="32"/>
        <v>0.103040134387638</v>
      </c>
      <c r="W129" s="39">
        <f t="shared" si="33"/>
        <v>1.980764403859947E-2</v>
      </c>
      <c r="X129" s="11">
        <f>[1]world_population_Raw_Data!G122</f>
        <v>5302681</v>
      </c>
      <c r="Y129" s="18">
        <f t="shared" si="20"/>
        <v>4.2278810531678694E-2</v>
      </c>
      <c r="Z129" s="39">
        <f t="shared" si="34"/>
        <v>2.0920570138381889E-2</v>
      </c>
      <c r="AA129" s="19">
        <f t="shared" si="21"/>
        <v>6.6504567639230215E-4</v>
      </c>
      <c r="AB129" s="45">
        <f t="shared" si="35"/>
        <v>2.5065499854961981E-2</v>
      </c>
      <c r="AC129" s="81">
        <f t="shared" si="38"/>
        <v>6464105.5144605143</v>
      </c>
      <c r="AD129" s="81"/>
    </row>
    <row r="130" spans="2:30">
      <c r="B130" s="8">
        <f>[1]world_population_Raw_Data!B123</f>
        <v>122</v>
      </c>
      <c r="C130" s="9" t="str">
        <f>[1]world_population_Raw_Data!D123</f>
        <v>Palestine</v>
      </c>
      <c r="D130" s="10" t="str">
        <f>[1]world_population_Raw_Data!F123</f>
        <v>Asia</v>
      </c>
      <c r="E130" s="11">
        <f>[1]world_population_Raw_Data!N123</f>
        <v>1118241</v>
      </c>
      <c r="F130" s="11">
        <f>[1]world_population_Raw_Data!M123</f>
        <v>1453620</v>
      </c>
      <c r="G130" s="18">
        <f t="shared" si="22"/>
        <v>0.29991656539153905</v>
      </c>
      <c r="H130" s="39">
        <f t="shared" si="23"/>
        <v>1.0265770424521412</v>
      </c>
      <c r="I130" s="11">
        <f>[1]world_population_Raw_Data!L123</f>
        <v>2124609</v>
      </c>
      <c r="J130" s="18">
        <f t="shared" si="24"/>
        <v>0.46159862962810089</v>
      </c>
      <c r="K130" s="39">
        <f t="shared" si="25"/>
        <v>1.0386824955576981</v>
      </c>
      <c r="L130" s="11">
        <f>[1]world_population_Raw_Data!K123</f>
        <v>3139954</v>
      </c>
      <c r="M130" s="18">
        <f t="shared" si="26"/>
        <v>0.47789734487616309</v>
      </c>
      <c r="N130" s="39">
        <f t="shared" si="27"/>
        <v>3.9834989339848192E-2</v>
      </c>
      <c r="O130" s="11">
        <f>[1]world_population_Raw_Data!J123</f>
        <v>3992278</v>
      </c>
      <c r="P130" s="18">
        <f t="shared" si="28"/>
        <v>0.27144474091021714</v>
      </c>
      <c r="Q130" s="39">
        <f t="shared" si="29"/>
        <v>2.4306076223825857E-2</v>
      </c>
      <c r="R130" s="11">
        <f>[1]world_population_Raw_Data!I123</f>
        <v>4484614</v>
      </c>
      <c r="S130" s="18">
        <f t="shared" si="30"/>
        <v>0.12332207326243312</v>
      </c>
      <c r="T130" s="39">
        <f t="shared" si="31"/>
        <v>2.3530664774804588E-2</v>
      </c>
      <c r="U130" s="11">
        <f>[1]world_population_Raw_Data!H123</f>
        <v>5019401</v>
      </c>
      <c r="V130" s="18">
        <f t="shared" si="32"/>
        <v>0.11924928210097904</v>
      </c>
      <c r="W130" s="39">
        <f t="shared" si="33"/>
        <v>2.2787389885194465E-2</v>
      </c>
      <c r="X130" s="11">
        <f>[1]world_population_Raw_Data!G123</f>
        <v>5250072</v>
      </c>
      <c r="Y130" s="18">
        <f t="shared" si="20"/>
        <v>4.5955881986715151E-2</v>
      </c>
      <c r="Z130" s="39">
        <f t="shared" si="34"/>
        <v>2.2719845307949127E-2</v>
      </c>
      <c r="AA130" s="19">
        <f t="shared" si="21"/>
        <v>6.5844762005262745E-4</v>
      </c>
      <c r="AB130" s="45">
        <f t="shared" si="35"/>
        <v>3.0186747196618624E-2</v>
      </c>
      <c r="AC130" s="81">
        <f t="shared" si="38"/>
        <v>6660286.7615570519</v>
      </c>
      <c r="AD130" s="81"/>
    </row>
    <row r="131" spans="2:30">
      <c r="B131" s="8">
        <f>[1]world_population_Raw_Data!B124</f>
        <v>123</v>
      </c>
      <c r="C131" s="9" t="str">
        <f>[1]world_population_Raw_Data!D124</f>
        <v>New Zealand</v>
      </c>
      <c r="D131" s="10" t="str">
        <f>[1]world_population_Raw_Data!F124</f>
        <v>Oceania</v>
      </c>
      <c r="E131" s="11">
        <f>[1]world_population_Raw_Data!N124</f>
        <v>2824061</v>
      </c>
      <c r="F131" s="11">
        <f>[1]world_population_Raw_Data!M124</f>
        <v>3147168</v>
      </c>
      <c r="G131" s="18">
        <f t="shared" si="22"/>
        <v>0.11441218868855878</v>
      </c>
      <c r="H131" s="39">
        <f t="shared" si="23"/>
        <v>1.0108915943094312</v>
      </c>
      <c r="I131" s="11">
        <f>[1]world_population_Raw_Data!L124</f>
        <v>3397389</v>
      </c>
      <c r="J131" s="18">
        <f t="shared" si="24"/>
        <v>7.950671842113291E-2</v>
      </c>
      <c r="K131" s="39">
        <f t="shared" si="25"/>
        <v>1.0076797586898669</v>
      </c>
      <c r="L131" s="11">
        <f>[1]world_population_Raw_Data!K124</f>
        <v>3855266</v>
      </c>
      <c r="M131" s="18">
        <f t="shared" si="26"/>
        <v>0.13477320377501664</v>
      </c>
      <c r="N131" s="39">
        <f t="shared" si="27"/>
        <v>1.2723545239129885E-2</v>
      </c>
      <c r="O131" s="11">
        <f>[1]world_population_Raw_Data!J124</f>
        <v>4346338</v>
      </c>
      <c r="P131" s="18">
        <f t="shared" si="28"/>
        <v>0.12737694364020538</v>
      </c>
      <c r="Q131" s="39">
        <f t="shared" si="29"/>
        <v>1.2061525083422842E-2</v>
      </c>
      <c r="R131" s="11">
        <f>[1]world_population_Raw_Data!I124</f>
        <v>4590590</v>
      </c>
      <c r="S131" s="18">
        <f t="shared" si="30"/>
        <v>5.6197194051636111E-2</v>
      </c>
      <c r="T131" s="39">
        <f t="shared" si="31"/>
        <v>1.0994986352337976E-2</v>
      </c>
      <c r="U131" s="11">
        <f>[1]world_population_Raw_Data!H124</f>
        <v>5061133</v>
      </c>
      <c r="V131" s="18">
        <f t="shared" si="32"/>
        <v>0.102501639222845</v>
      </c>
      <c r="W131" s="39">
        <f t="shared" si="33"/>
        <v>1.9708052239880702E-2</v>
      </c>
      <c r="X131" s="11">
        <f>[1]world_population_Raw_Data!G124</f>
        <v>5185288</v>
      </c>
      <c r="Y131" s="18">
        <f t="shared" si="20"/>
        <v>2.4531068438628269E-2</v>
      </c>
      <c r="Z131" s="39">
        <f t="shared" si="34"/>
        <v>1.2191221281151021E-2</v>
      </c>
      <c r="AA131" s="19">
        <f t="shared" si="21"/>
        <v>6.5032261326843685E-4</v>
      </c>
      <c r="AB131" s="45">
        <f t="shared" si="35"/>
        <v>1.1754109596290307E-2</v>
      </c>
      <c r="AC131" s="81">
        <f t="shared" si="38"/>
        <v>5693413.1451278469</v>
      </c>
      <c r="AD131" s="81"/>
    </row>
    <row r="132" spans="2:30">
      <c r="B132" s="8">
        <f>[1]world_population_Raw_Data!B125</f>
        <v>124</v>
      </c>
      <c r="C132" s="9" t="str">
        <f>[1]world_population_Raw_Data!D125</f>
        <v>Costa Rica</v>
      </c>
      <c r="D132" s="10" t="str">
        <f>[1]world_population_Raw_Data!F125</f>
        <v>North America</v>
      </c>
      <c r="E132" s="11">
        <f>[1]world_population_Raw_Data!N125</f>
        <v>1855697</v>
      </c>
      <c r="F132" s="11">
        <f>[1]world_population_Raw_Data!M125</f>
        <v>2414303</v>
      </c>
      <c r="G132" s="18">
        <f t="shared" si="22"/>
        <v>0.30102220351706127</v>
      </c>
      <c r="H132" s="39">
        <f t="shared" si="23"/>
        <v>1.0266643240943798</v>
      </c>
      <c r="I132" s="11">
        <f>[1]world_population_Raw_Data!L125</f>
        <v>3158253</v>
      </c>
      <c r="J132" s="18">
        <f t="shared" si="24"/>
        <v>0.3081427641849428</v>
      </c>
      <c r="K132" s="39">
        <f t="shared" si="25"/>
        <v>1.0272248435919642</v>
      </c>
      <c r="L132" s="11">
        <f>[1]world_population_Raw_Data!K125</f>
        <v>3979193</v>
      </c>
      <c r="M132" s="18">
        <f t="shared" si="26"/>
        <v>0.25993484372531267</v>
      </c>
      <c r="N132" s="39">
        <f t="shared" si="27"/>
        <v>2.3375012398437978E-2</v>
      </c>
      <c r="O132" s="11">
        <f>[1]world_population_Raw_Data!J125</f>
        <v>4622252</v>
      </c>
      <c r="P132" s="18">
        <f t="shared" si="28"/>
        <v>0.16160538078952189</v>
      </c>
      <c r="Q132" s="39">
        <f t="shared" si="29"/>
        <v>1.5093066811252331E-2</v>
      </c>
      <c r="R132" s="11">
        <f>[1]world_population_Raw_Data!I125</f>
        <v>4895242</v>
      </c>
      <c r="S132" s="18">
        <f t="shared" si="30"/>
        <v>5.9059956056052333E-2</v>
      </c>
      <c r="T132" s="39">
        <f t="shared" si="31"/>
        <v>1.1542441936699843E-2</v>
      </c>
      <c r="U132" s="11">
        <f>[1]world_population_Raw_Data!H125</f>
        <v>5123105</v>
      </c>
      <c r="V132" s="18">
        <f t="shared" si="32"/>
        <v>4.6547851975448813E-2</v>
      </c>
      <c r="W132" s="39">
        <f t="shared" si="33"/>
        <v>9.1409228915027008E-3</v>
      </c>
      <c r="X132" s="11">
        <f>[1]world_population_Raw_Data!G125</f>
        <v>5180829</v>
      </c>
      <c r="Y132" s="18">
        <f t="shared" si="20"/>
        <v>1.1267385696760071E-2</v>
      </c>
      <c r="Z132" s="39">
        <f t="shared" si="34"/>
        <v>5.617912378633072E-3</v>
      </c>
      <c r="AA132" s="19">
        <f t="shared" si="21"/>
        <v>6.4976337942596486E-4</v>
      </c>
      <c r="AB132" s="45">
        <f t="shared" si="35"/>
        <v>1.9940529769671533E-2</v>
      </c>
      <c r="AC132" s="81">
        <f t="shared" si="38"/>
        <v>6067336.1496804925</v>
      </c>
      <c r="AD132" s="81"/>
    </row>
    <row r="133" spans="2:30">
      <c r="B133" s="8">
        <f>[1]world_population_Raw_Data!B126</f>
        <v>125</v>
      </c>
      <c r="C133" s="9" t="str">
        <f>[1]world_population_Raw_Data!D126</f>
        <v>Ireland</v>
      </c>
      <c r="D133" s="10" t="str">
        <f>[1]world_population_Raw_Data!F126</f>
        <v>Europe</v>
      </c>
      <c r="E133" s="11">
        <f>[1]world_population_Raw_Data!N126</f>
        <v>2937637</v>
      </c>
      <c r="F133" s="11">
        <f>[1]world_population_Raw_Data!M126</f>
        <v>3391387</v>
      </c>
      <c r="G133" s="18">
        <f t="shared" si="22"/>
        <v>0.15446088131379065</v>
      </c>
      <c r="H133" s="39">
        <f t="shared" si="23"/>
        <v>1.0144669950719016</v>
      </c>
      <c r="I133" s="11">
        <f>[1]world_population_Raw_Data!L126</f>
        <v>3485374</v>
      </c>
      <c r="J133" s="18">
        <f t="shared" si="24"/>
        <v>2.7713439958341527E-2</v>
      </c>
      <c r="K133" s="39">
        <f t="shared" si="25"/>
        <v>1.0027373771204142</v>
      </c>
      <c r="L133" s="11">
        <f>[1]world_population_Raw_Data!K126</f>
        <v>3768950</v>
      </c>
      <c r="M133" s="18">
        <f t="shared" si="26"/>
        <v>8.1361713262335697E-2</v>
      </c>
      <c r="N133" s="39">
        <f t="shared" si="27"/>
        <v>7.8527818744085209E-3</v>
      </c>
      <c r="O133" s="11">
        <f>[1]world_population_Raw_Data!J126</f>
        <v>4524585</v>
      </c>
      <c r="P133" s="18">
        <f t="shared" si="28"/>
        <v>0.20048952626062963</v>
      </c>
      <c r="Q133" s="39">
        <f t="shared" si="29"/>
        <v>1.8440912959120315E-2</v>
      </c>
      <c r="R133" s="11">
        <f>[1]world_population_Raw_Data!I126</f>
        <v>4665760</v>
      </c>
      <c r="S133" s="18">
        <f t="shared" si="30"/>
        <v>3.1201756625193248E-2</v>
      </c>
      <c r="T133" s="39">
        <f t="shared" si="31"/>
        <v>6.1638943164710192E-3</v>
      </c>
      <c r="U133" s="11">
        <f>[1]world_population_Raw_Data!H126</f>
        <v>4946119</v>
      </c>
      <c r="V133" s="18">
        <f t="shared" si="32"/>
        <v>6.0088602928568977E-2</v>
      </c>
      <c r="W133" s="39">
        <f t="shared" si="33"/>
        <v>1.1738864423090023E-2</v>
      </c>
      <c r="X133" s="11">
        <f>[1]world_population_Raw_Data!G126</f>
        <v>5023109</v>
      </c>
      <c r="Y133" s="18">
        <f t="shared" si="20"/>
        <v>1.5565739522239557E-2</v>
      </c>
      <c r="Z133" s="39">
        <f t="shared" si="34"/>
        <v>7.752816677899288E-3</v>
      </c>
      <c r="AA133" s="19">
        <f t="shared" si="21"/>
        <v>6.2998263001249005E-4</v>
      </c>
      <c r="AB133" s="45">
        <f t="shared" si="35"/>
        <v>1.0369617752417515E-2</v>
      </c>
      <c r="AC133" s="81">
        <f t="shared" si="38"/>
        <v>5455252.1470924178</v>
      </c>
      <c r="AD133" s="81"/>
    </row>
    <row r="134" spans="2:30">
      <c r="B134" s="8">
        <f>[1]world_population_Raw_Data!B127</f>
        <v>126</v>
      </c>
      <c r="C134" s="9" t="str">
        <f>[1]world_population_Raw_Data!D127</f>
        <v>Mauritania</v>
      </c>
      <c r="D134" s="10" t="str">
        <f>[1]world_population_Raw_Data!F127</f>
        <v>Africa</v>
      </c>
      <c r="E134" s="11">
        <f>[1]world_population_Raw_Data!N127</f>
        <v>1122198</v>
      </c>
      <c r="F134" s="11">
        <f>[1]world_population_Raw_Data!M127</f>
        <v>1506694</v>
      </c>
      <c r="G134" s="18">
        <f t="shared" si="22"/>
        <v>0.34262759334805443</v>
      </c>
      <c r="H134" s="39">
        <f t="shared" si="23"/>
        <v>1.0299011826336715</v>
      </c>
      <c r="I134" s="11">
        <f>[1]world_population_Raw_Data!L127</f>
        <v>2006027</v>
      </c>
      <c r="J134" s="18">
        <f t="shared" si="24"/>
        <v>0.33140969566481315</v>
      </c>
      <c r="K134" s="39">
        <f t="shared" si="25"/>
        <v>1.0290374289038278</v>
      </c>
      <c r="L134" s="11">
        <f>[1]world_population_Raw_Data!K127</f>
        <v>2695003</v>
      </c>
      <c r="M134" s="18">
        <f t="shared" si="26"/>
        <v>0.34345300437132703</v>
      </c>
      <c r="N134" s="39">
        <f t="shared" si="27"/>
        <v>2.9964480655308101E-2</v>
      </c>
      <c r="O134" s="11">
        <f>[1]world_population_Raw_Data!J127</f>
        <v>3419461</v>
      </c>
      <c r="P134" s="18">
        <f t="shared" si="28"/>
        <v>0.26881528517779013</v>
      </c>
      <c r="Q134" s="39">
        <f t="shared" si="29"/>
        <v>2.4094043625328965E-2</v>
      </c>
      <c r="R134" s="11">
        <f>[1]world_population_Raw_Data!I127</f>
        <v>3946220</v>
      </c>
      <c r="S134" s="18">
        <f t="shared" si="30"/>
        <v>0.15404737764226584</v>
      </c>
      <c r="T134" s="39">
        <f t="shared" si="31"/>
        <v>2.9069550018081092E-2</v>
      </c>
      <c r="U134" s="11">
        <f>[1]world_population_Raw_Data!H127</f>
        <v>4498604</v>
      </c>
      <c r="V134" s="18">
        <f t="shared" si="32"/>
        <v>0.13997800426737486</v>
      </c>
      <c r="W134" s="39">
        <f t="shared" si="33"/>
        <v>2.6548078348400894E-2</v>
      </c>
      <c r="X134" s="11">
        <f>[1]world_population_Raw_Data!G127</f>
        <v>4736139</v>
      </c>
      <c r="Y134" s="18">
        <f t="shared" si="20"/>
        <v>5.2801935889444818E-2</v>
      </c>
      <c r="Z134" s="39">
        <f t="shared" si="34"/>
        <v>2.6061370430367825E-2</v>
      </c>
      <c r="AA134" s="19">
        <f t="shared" si="21"/>
        <v>5.9399174959665903E-4</v>
      </c>
      <c r="AB134" s="45">
        <f t="shared" si="35"/>
        <v>2.8077978714116769E-2</v>
      </c>
      <c r="AC134" s="81">
        <f t="shared" si="38"/>
        <v>5910618.0226108879</v>
      </c>
      <c r="AD134" s="81"/>
    </row>
    <row r="135" spans="2:30">
      <c r="B135" s="8">
        <f>[1]world_population_Raw_Data!B128</f>
        <v>127</v>
      </c>
      <c r="C135" s="9" t="str">
        <f>[1]world_population_Raw_Data!D128</f>
        <v>Oman</v>
      </c>
      <c r="D135" s="10" t="str">
        <f>[1]world_population_Raw_Data!F128</f>
        <v>Asia</v>
      </c>
      <c r="E135" s="11">
        <f>[1]world_population_Raw_Data!N128</f>
        <v>670693</v>
      </c>
      <c r="F135" s="11">
        <f>[1]world_population_Raw_Data!M128</f>
        <v>1017462</v>
      </c>
      <c r="G135" s="18">
        <f t="shared" si="22"/>
        <v>0.51703089192819962</v>
      </c>
      <c r="H135" s="39">
        <f t="shared" si="23"/>
        <v>1.0425561210660812</v>
      </c>
      <c r="I135" s="11">
        <f>[1]world_population_Raw_Data!L128</f>
        <v>1804524</v>
      </c>
      <c r="J135" s="18">
        <f t="shared" si="24"/>
        <v>0.77355419661864522</v>
      </c>
      <c r="K135" s="39">
        <f t="shared" si="25"/>
        <v>1.0589719249798821</v>
      </c>
      <c r="L135" s="11">
        <f>[1]world_population_Raw_Data!K128</f>
        <v>2344253</v>
      </c>
      <c r="M135" s="18">
        <f t="shared" si="26"/>
        <v>0.29909771219446235</v>
      </c>
      <c r="N135" s="39">
        <f t="shared" si="27"/>
        <v>2.6512357202492343E-2</v>
      </c>
      <c r="O135" s="11">
        <f>[1]world_population_Raw_Data!J128</f>
        <v>2881914</v>
      </c>
      <c r="P135" s="18">
        <f t="shared" si="28"/>
        <v>0.22935280449678427</v>
      </c>
      <c r="Q135" s="39">
        <f t="shared" si="29"/>
        <v>2.0863446694031174E-2</v>
      </c>
      <c r="R135" s="11">
        <f>[1]world_population_Raw_Data!I128</f>
        <v>4191776</v>
      </c>
      <c r="S135" s="18">
        <f t="shared" si="30"/>
        <v>0.45451113392002673</v>
      </c>
      <c r="T135" s="39">
        <f t="shared" si="31"/>
        <v>7.7812981348569732E-2</v>
      </c>
      <c r="U135" s="11">
        <f>[1]world_population_Raw_Data!H128</f>
        <v>4543399</v>
      </c>
      <c r="V135" s="18">
        <f t="shared" si="32"/>
        <v>8.3884014794683687E-2</v>
      </c>
      <c r="W135" s="39">
        <f t="shared" si="33"/>
        <v>1.6240648606363317E-2</v>
      </c>
      <c r="X135" s="11">
        <f>[1]world_population_Raw_Data!G128</f>
        <v>4576298</v>
      </c>
      <c r="Y135" s="18">
        <f t="shared" si="20"/>
        <v>7.2410545496884599E-3</v>
      </c>
      <c r="Z135" s="39">
        <f t="shared" si="34"/>
        <v>3.6139967884507573E-3</v>
      </c>
      <c r="AA135" s="19">
        <f t="shared" si="21"/>
        <v>5.7394499099280903E-4</v>
      </c>
      <c r="AB135" s="45">
        <f t="shared" si="35"/>
        <v>3.7619868994643646E-2</v>
      </c>
      <c r="AC135" s="81">
        <f t="shared" si="38"/>
        <v>6149227.08674883</v>
      </c>
      <c r="AD135" s="81"/>
    </row>
    <row r="136" spans="2:30">
      <c r="B136" s="8">
        <f>[1]world_population_Raw_Data!B129</f>
        <v>128</v>
      </c>
      <c r="C136" s="9" t="str">
        <f>[1]world_population_Raw_Data!D129</f>
        <v>Panama</v>
      </c>
      <c r="D136" s="10" t="str">
        <f>[1]world_population_Raw_Data!F129</f>
        <v>North America</v>
      </c>
      <c r="E136" s="11">
        <f>[1]world_population_Raw_Data!N129</f>
        <v>1516188</v>
      </c>
      <c r="F136" s="11">
        <f>[1]world_population_Raw_Data!M129</f>
        <v>1956987</v>
      </c>
      <c r="G136" s="18">
        <f t="shared" si="22"/>
        <v>0.29072845847612566</v>
      </c>
      <c r="H136" s="39">
        <f t="shared" si="23"/>
        <v>1.0258491160443994</v>
      </c>
      <c r="I136" s="11">
        <f>[1]world_population_Raw_Data!L129</f>
        <v>2449968</v>
      </c>
      <c r="J136" s="18">
        <f t="shared" si="24"/>
        <v>0.25190816290552775</v>
      </c>
      <c r="K136" s="39">
        <f t="shared" si="25"/>
        <v>1.0227211731135901</v>
      </c>
      <c r="L136" s="11">
        <f>[1]world_population_Raw_Data!K129</f>
        <v>3001731</v>
      </c>
      <c r="M136" s="18">
        <f t="shared" si="26"/>
        <v>0.22521232930389296</v>
      </c>
      <c r="N136" s="39">
        <f t="shared" si="27"/>
        <v>2.0519096421989458E-2</v>
      </c>
      <c r="O136" s="11">
        <f>[1]world_population_Raw_Data!J129</f>
        <v>3623617</v>
      </c>
      <c r="P136" s="18">
        <f t="shared" si="28"/>
        <v>0.20717579290082955</v>
      </c>
      <c r="Q136" s="39">
        <f t="shared" si="29"/>
        <v>1.9006728845602838E-2</v>
      </c>
      <c r="R136" s="11">
        <f>[1]world_population_Raw_Data!I129</f>
        <v>3957099</v>
      </c>
      <c r="S136" s="18">
        <f t="shared" si="30"/>
        <v>9.2030145570020233E-2</v>
      </c>
      <c r="T136" s="39">
        <f t="shared" si="31"/>
        <v>1.7763625885002021E-2</v>
      </c>
      <c r="U136" s="11">
        <f>[1]world_population_Raw_Data!H129</f>
        <v>4294396</v>
      </c>
      <c r="V136" s="18">
        <f t="shared" si="32"/>
        <v>8.523845372582288E-2</v>
      </c>
      <c r="W136" s="39">
        <f t="shared" si="33"/>
        <v>1.6494503887537926E-2</v>
      </c>
      <c r="X136" s="11">
        <f>[1]world_population_Raw_Data!G129</f>
        <v>4408581</v>
      </c>
      <c r="Y136" s="18">
        <f t="shared" si="20"/>
        <v>2.6589303827592985E-2</v>
      </c>
      <c r="Z136" s="39">
        <f t="shared" si="34"/>
        <v>1.3207433760527243E-2</v>
      </c>
      <c r="AA136" s="19">
        <f t="shared" si="21"/>
        <v>5.5291044908702819E-4</v>
      </c>
      <c r="AB136" s="45">
        <f t="shared" si="35"/>
        <v>2.0738138081859203E-2</v>
      </c>
      <c r="AC136" s="81">
        <f t="shared" si="38"/>
        <v>5195335.0224666083</v>
      </c>
      <c r="AD136" s="81"/>
    </row>
    <row r="137" spans="2:30">
      <c r="B137" s="8">
        <f>[1]world_population_Raw_Data!B130</f>
        <v>129</v>
      </c>
      <c r="C137" s="9" t="str">
        <f>[1]world_population_Raw_Data!D130</f>
        <v>Kuwait</v>
      </c>
      <c r="D137" s="10" t="str">
        <f>[1]world_population_Raw_Data!F130</f>
        <v>Asia</v>
      </c>
      <c r="E137" s="11">
        <f>[1]world_population_Raw_Data!N130</f>
        <v>802786</v>
      </c>
      <c r="F137" s="11">
        <f>[1]world_population_Raw_Data!M130</f>
        <v>1493870</v>
      </c>
      <c r="G137" s="18">
        <f t="shared" si="22"/>
        <v>0.86085706527019656</v>
      </c>
      <c r="H137" s="39">
        <f t="shared" si="23"/>
        <v>1.0640727013668394</v>
      </c>
      <c r="I137" s="11">
        <f>[1]world_population_Raw_Data!L130</f>
        <v>1674938</v>
      </c>
      <c r="J137" s="18">
        <f t="shared" si="24"/>
        <v>0.12120733397149686</v>
      </c>
      <c r="K137" s="39">
        <f t="shared" si="25"/>
        <v>1.0115063021917154</v>
      </c>
      <c r="L137" s="11">
        <f>[1]world_population_Raw_Data!K130</f>
        <v>1934901</v>
      </c>
      <c r="M137" s="18">
        <f t="shared" si="26"/>
        <v>0.15520753604013998</v>
      </c>
      <c r="N137" s="39">
        <f t="shared" si="27"/>
        <v>1.4532587265515984E-2</v>
      </c>
      <c r="O137" s="11">
        <f>[1]world_population_Raw_Data!J130</f>
        <v>2943356</v>
      </c>
      <c r="P137" s="18">
        <f t="shared" si="28"/>
        <v>0.52119204031627453</v>
      </c>
      <c r="Q137" s="39">
        <f t="shared" si="29"/>
        <v>4.2841737214125652E-2</v>
      </c>
      <c r="R137" s="11">
        <f>[1]world_population_Raw_Data!I130</f>
        <v>3908743</v>
      </c>
      <c r="S137" s="18">
        <f t="shared" si="30"/>
        <v>0.32798852738166911</v>
      </c>
      <c r="T137" s="39">
        <f t="shared" si="31"/>
        <v>5.8373274235363315E-2</v>
      </c>
      <c r="U137" s="11">
        <f>[1]world_population_Raw_Data!H130</f>
        <v>4360444</v>
      </c>
      <c r="V137" s="18">
        <f t="shared" si="32"/>
        <v>0.11556170359627123</v>
      </c>
      <c r="W137" s="39">
        <f t="shared" si="33"/>
        <v>2.211254662834472E-2</v>
      </c>
      <c r="X137" s="11">
        <f>[1]world_population_Raw_Data!G130</f>
        <v>4268873</v>
      </c>
      <c r="Y137" s="18">
        <f t="shared" ref="Y137:Y200" si="39">(X137-U137)/U137</f>
        <v>-2.1000384364528016E-2</v>
      </c>
      <c r="Z137" s="39">
        <f t="shared" si="34"/>
        <v>-1.0555905755422645E-2</v>
      </c>
      <c r="AA137" s="19">
        <f t="shared" ref="AA137:AA200" si="40">X137/$X$241</f>
        <v>5.3538870841331697E-4</v>
      </c>
      <c r="AB137" s="45">
        <f t="shared" si="35"/>
        <v>3.265684419004633E-2</v>
      </c>
      <c r="AC137" s="81">
        <f t="shared" si="38"/>
        <v>5520284.4521885049</v>
      </c>
      <c r="AD137" s="81"/>
    </row>
    <row r="138" spans="2:30">
      <c r="B138" s="8">
        <f>[1]world_population_Raw_Data!B131</f>
        <v>130</v>
      </c>
      <c r="C138" s="9" t="str">
        <f>[1]world_population_Raw_Data!D131</f>
        <v>Croatia</v>
      </c>
      <c r="D138" s="10" t="str">
        <f>[1]world_population_Raw_Data!F131</f>
        <v>Europe</v>
      </c>
      <c r="E138" s="11">
        <f>[1]world_population_Raw_Data!N131</f>
        <v>4492638</v>
      </c>
      <c r="F138" s="11">
        <f>[1]world_population_Raw_Data!M131</f>
        <v>4680144</v>
      </c>
      <c r="G138" s="18">
        <f t="shared" ref="G138:G201" si="41">(F138-E138)/E138</f>
        <v>4.1736280554987959E-2</v>
      </c>
      <c r="H138" s="39">
        <f t="shared" ref="H138:H201" si="42">(F138/E138)^(1/10)</f>
        <v>1.0040972530459711</v>
      </c>
      <c r="I138" s="11">
        <f>[1]world_population_Raw_Data!L131</f>
        <v>4873707</v>
      </c>
      <c r="J138" s="18">
        <f t="shared" ref="J138:J201" si="43">(I138-F138)/F138</f>
        <v>4.1358342820220918E-2</v>
      </c>
      <c r="K138" s="39">
        <f t="shared" ref="K138:K201" si="44">(I138/F138)^(1/10)</f>
        <v>1.0040608188527052</v>
      </c>
      <c r="L138" s="11">
        <f>[1]world_population_Raw_Data!K131</f>
        <v>4548434</v>
      </c>
      <c r="M138" s="18">
        <f t="shared" ref="M138:M201" si="45">(L138-I138)/I138</f>
        <v>-6.6740368265880576E-2</v>
      </c>
      <c r="N138" s="39">
        <f t="shared" ref="N138:N201" si="46">(L138/I138)^(1/10)-1</f>
        <v>-6.883384292571848E-3</v>
      </c>
      <c r="O138" s="11">
        <f>[1]world_population_Raw_Data!J131</f>
        <v>4368682</v>
      </c>
      <c r="P138" s="18">
        <f t="shared" ref="P138:P201" si="47">(O138-L138)/L138</f>
        <v>-3.9519535734716608E-2</v>
      </c>
      <c r="Q138" s="39">
        <f t="shared" ref="Q138:Q201" si="48">(O138/L138)^(1/10)-1</f>
        <v>-4.024045354425354E-3</v>
      </c>
      <c r="R138" s="11">
        <f>[1]world_population_Raw_Data!I131</f>
        <v>4254815</v>
      </c>
      <c r="S138" s="18">
        <f t="shared" ref="S138:S201" si="49">(R138-O138)/O138</f>
        <v>-2.606438280469945E-2</v>
      </c>
      <c r="T138" s="39">
        <f t="shared" ref="T138:T201" si="50">(R138/O138)^(1/5)-1</f>
        <v>-5.2680904766010395E-3</v>
      </c>
      <c r="U138" s="11">
        <f>[1]world_population_Raw_Data!H131</f>
        <v>4096868</v>
      </c>
      <c r="V138" s="18">
        <f t="shared" ref="V138:V201" si="51">(U138-R138)/R138</f>
        <v>-3.7121943022199552E-2</v>
      </c>
      <c r="W138" s="39">
        <f t="shared" ref="W138:W201" si="52">(U138/R138)^(1/5)-1</f>
        <v>-7.5371528207938132E-3</v>
      </c>
      <c r="X138" s="11">
        <f>[1]world_population_Raw_Data!G131</f>
        <v>4030358</v>
      </c>
      <c r="Y138" s="18">
        <f t="shared" si="39"/>
        <v>-1.6234352681121285E-2</v>
      </c>
      <c r="Z138" s="39">
        <f t="shared" ref="Z138:Z201" si="53">(X138/U138)^(1/2)-1</f>
        <v>-8.1503907754569838E-3</v>
      </c>
      <c r="AA138" s="19">
        <f t="shared" si="40"/>
        <v>5.0547490264134807E-4</v>
      </c>
      <c r="AB138" s="45">
        <f t="shared" ref="AB138:AB201" si="54">(X138/E138)^(1/52)-1</f>
        <v>-2.0859915067817925E-3</v>
      </c>
      <c r="AC138" s="81">
        <f t="shared" si="38"/>
        <v>3963588.6673619393</v>
      </c>
      <c r="AD138" s="81"/>
    </row>
    <row r="139" spans="2:30">
      <c r="B139" s="8">
        <f>[1]world_population_Raw_Data!B132</f>
        <v>131</v>
      </c>
      <c r="C139" s="9" t="str">
        <f>[1]world_population_Raw_Data!D132</f>
        <v>Georgia</v>
      </c>
      <c r="D139" s="10" t="str">
        <f>[1]world_population_Raw_Data!F132</f>
        <v>Asia</v>
      </c>
      <c r="E139" s="11">
        <f>[1]world_population_Raw_Data!N132</f>
        <v>4800426</v>
      </c>
      <c r="F139" s="11">
        <f>[1]world_population_Raw_Data!M132</f>
        <v>5145843</v>
      </c>
      <c r="G139" s="18">
        <f t="shared" si="41"/>
        <v>7.1955488950355653E-2</v>
      </c>
      <c r="H139" s="39">
        <f t="shared" si="42"/>
        <v>1.0069726505455261</v>
      </c>
      <c r="I139" s="11">
        <f>[1]world_population_Raw_Data!L132</f>
        <v>5391636</v>
      </c>
      <c r="J139" s="18">
        <f t="shared" si="43"/>
        <v>4.7765351566303134E-2</v>
      </c>
      <c r="K139" s="39">
        <f t="shared" si="44"/>
        <v>1.0046768685348098</v>
      </c>
      <c r="L139" s="11">
        <f>[1]world_population_Raw_Data!K132</f>
        <v>4265172</v>
      </c>
      <c r="M139" s="18">
        <f t="shared" si="45"/>
        <v>-0.20892805078087615</v>
      </c>
      <c r="N139" s="39">
        <f t="shared" si="46"/>
        <v>-2.3164130627385648E-2</v>
      </c>
      <c r="O139" s="11">
        <f>[1]world_population_Raw_Data!J132</f>
        <v>3836831</v>
      </c>
      <c r="P139" s="18">
        <f t="shared" si="47"/>
        <v>-0.10042760291964779</v>
      </c>
      <c r="Q139" s="39">
        <f t="shared" si="48"/>
        <v>-1.0527765328790517E-2</v>
      </c>
      <c r="R139" s="11">
        <f>[1]world_population_Raw_Data!I132</f>
        <v>3771132</v>
      </c>
      <c r="S139" s="18">
        <f t="shared" si="49"/>
        <v>-1.7123245720231096E-2</v>
      </c>
      <c r="T139" s="39">
        <f t="shared" si="50"/>
        <v>-3.4483495045216639E-3</v>
      </c>
      <c r="U139" s="11">
        <f>[1]world_population_Raw_Data!H132</f>
        <v>3765912</v>
      </c>
      <c r="V139" s="18">
        <f t="shared" si="51"/>
        <v>-1.3841997575263873E-3</v>
      </c>
      <c r="W139" s="39">
        <f t="shared" si="52"/>
        <v>-2.7699335964892491E-4</v>
      </c>
      <c r="X139" s="11">
        <f>[1]world_population_Raw_Data!G132</f>
        <v>3744385</v>
      </c>
      <c r="Y139" s="18">
        <f t="shared" si="39"/>
        <v>-5.7162780224285642E-3</v>
      </c>
      <c r="Z139" s="39">
        <f t="shared" si="53"/>
        <v>-2.862235206402719E-3</v>
      </c>
      <c r="AA139" s="19">
        <f t="shared" si="40"/>
        <v>4.6960906284918713E-4</v>
      </c>
      <c r="AB139" s="45">
        <f t="shared" si="54"/>
        <v>-4.7664366125116375E-3</v>
      </c>
      <c r="AC139" s="81">
        <f t="shared" si="38"/>
        <v>3603965.352759528</v>
      </c>
      <c r="AD139" s="81"/>
    </row>
    <row r="140" spans="2:30">
      <c r="B140" s="8">
        <f>[1]world_population_Raw_Data!B133</f>
        <v>132</v>
      </c>
      <c r="C140" s="9" t="str">
        <f>[1]world_population_Raw_Data!D133</f>
        <v>Eritrea</v>
      </c>
      <c r="D140" s="10" t="str">
        <f>[1]world_population_Raw_Data!F133</f>
        <v>Africa</v>
      </c>
      <c r="E140" s="11">
        <f>[1]world_population_Raw_Data!N133</f>
        <v>1272748</v>
      </c>
      <c r="F140" s="11">
        <f>[1]world_population_Raw_Data!M133</f>
        <v>1657982</v>
      </c>
      <c r="G140" s="18">
        <f t="shared" si="41"/>
        <v>0.30267892780031869</v>
      </c>
      <c r="H140" s="39">
        <f t="shared" si="42"/>
        <v>1.0267949848801159</v>
      </c>
      <c r="I140" s="11">
        <f>[1]world_population_Raw_Data!L133</f>
        <v>2149960</v>
      </c>
      <c r="J140" s="18">
        <f t="shared" si="43"/>
        <v>0.29673301640186683</v>
      </c>
      <c r="K140" s="39">
        <f t="shared" si="44"/>
        <v>1.0263253520187661</v>
      </c>
      <c r="L140" s="11">
        <f>[1]world_population_Raw_Data!K133</f>
        <v>2392880</v>
      </c>
      <c r="M140" s="18">
        <f t="shared" si="45"/>
        <v>0.11298814861671845</v>
      </c>
      <c r="N140" s="39">
        <f t="shared" si="46"/>
        <v>1.0762344234355625E-2</v>
      </c>
      <c r="O140" s="11">
        <f>[1]world_population_Raw_Data!J133</f>
        <v>3147727</v>
      </c>
      <c r="P140" s="18">
        <f t="shared" si="47"/>
        <v>0.31545543445555146</v>
      </c>
      <c r="Q140" s="39">
        <f t="shared" si="48"/>
        <v>2.779763481884312E-2</v>
      </c>
      <c r="R140" s="11">
        <f>[1]world_population_Raw_Data!I133</f>
        <v>3340006</v>
      </c>
      <c r="S140" s="18">
        <f t="shared" si="49"/>
        <v>6.1085030563323948E-2</v>
      </c>
      <c r="T140" s="39">
        <f t="shared" si="50"/>
        <v>1.1928989237343979E-2</v>
      </c>
      <c r="U140" s="11">
        <f>[1]world_population_Raw_Data!H133</f>
        <v>3555868</v>
      </c>
      <c r="V140" s="18">
        <f t="shared" si="51"/>
        <v>6.4629225216960684E-2</v>
      </c>
      <c r="W140" s="39">
        <f t="shared" si="52"/>
        <v>1.2604088976202243E-2</v>
      </c>
      <c r="X140" s="11">
        <f>[1]world_population_Raw_Data!G133</f>
        <v>3684032</v>
      </c>
      <c r="Y140" s="18">
        <f t="shared" si="39"/>
        <v>3.6042957725089905E-2</v>
      </c>
      <c r="Z140" s="39">
        <f t="shared" si="53"/>
        <v>1.7861954159349658E-2</v>
      </c>
      <c r="AA140" s="19">
        <f t="shared" si="40"/>
        <v>4.6203977823498825E-4</v>
      </c>
      <c r="AB140" s="45">
        <f t="shared" si="54"/>
        <v>2.0649335435760197E-2</v>
      </c>
      <c r="AC140" s="81">
        <f t="shared" si="38"/>
        <v>4338462.5296800798</v>
      </c>
      <c r="AD140" s="81"/>
    </row>
    <row r="141" spans="2:30">
      <c r="B141" s="8">
        <f>[1]world_population_Raw_Data!B134</f>
        <v>133</v>
      </c>
      <c r="C141" s="9" t="str">
        <f>[1]world_population_Raw_Data!D134</f>
        <v>Uruguay</v>
      </c>
      <c r="D141" s="10" t="str">
        <f>[1]world_population_Raw_Data!F134</f>
        <v>South America</v>
      </c>
      <c r="E141" s="11">
        <f>[1]world_population_Raw_Data!N134</f>
        <v>2790265</v>
      </c>
      <c r="F141" s="11">
        <f>[1]world_population_Raw_Data!M134</f>
        <v>2953750</v>
      </c>
      <c r="G141" s="18">
        <f t="shared" si="41"/>
        <v>5.859120907870758E-2</v>
      </c>
      <c r="H141" s="39">
        <f t="shared" si="42"/>
        <v>1.005710138657061</v>
      </c>
      <c r="I141" s="11">
        <f>[1]world_population_Raw_Data!L134</f>
        <v>3117012</v>
      </c>
      <c r="J141" s="18">
        <f t="shared" si="43"/>
        <v>5.5272788827761321E-2</v>
      </c>
      <c r="K141" s="39">
        <f t="shared" si="44"/>
        <v>1.0053944279228564</v>
      </c>
      <c r="L141" s="11">
        <f>[1]world_population_Raw_Data!K134</f>
        <v>3292224</v>
      </c>
      <c r="M141" s="18">
        <f t="shared" si="45"/>
        <v>5.6211525653414231E-2</v>
      </c>
      <c r="N141" s="39">
        <f t="shared" si="46"/>
        <v>5.4838288045808703E-3</v>
      </c>
      <c r="O141" s="11">
        <f>[1]world_population_Raw_Data!J134</f>
        <v>3352651</v>
      </c>
      <c r="P141" s="18">
        <f t="shared" si="47"/>
        <v>1.8354461907816724E-2</v>
      </c>
      <c r="Q141" s="39">
        <f t="shared" si="48"/>
        <v>1.820460222524245E-3</v>
      </c>
      <c r="R141" s="11">
        <f>[1]world_population_Raw_Data!I134</f>
        <v>3402818</v>
      </c>
      <c r="S141" s="18">
        <f t="shared" si="49"/>
        <v>1.496338270819122E-2</v>
      </c>
      <c r="T141" s="39">
        <f t="shared" si="50"/>
        <v>2.9749234668443592E-3</v>
      </c>
      <c r="U141" s="11">
        <f>[1]world_population_Raw_Data!H134</f>
        <v>3429086</v>
      </c>
      <c r="V141" s="18">
        <f t="shared" si="51"/>
        <v>7.7194842627492863E-3</v>
      </c>
      <c r="W141" s="39">
        <f t="shared" si="52"/>
        <v>1.5391515793059529E-3</v>
      </c>
      <c r="X141" s="11">
        <f>[1]world_population_Raw_Data!G134</f>
        <v>3422794</v>
      </c>
      <c r="Y141" s="18">
        <f t="shared" si="39"/>
        <v>-1.83489128006705E-3</v>
      </c>
      <c r="Z141" s="39">
        <f t="shared" si="53"/>
        <v>-9.1786687983808068E-4</v>
      </c>
      <c r="AA141" s="19">
        <f t="shared" si="40"/>
        <v>4.2927612482846194E-4</v>
      </c>
      <c r="AB141" s="45">
        <f t="shared" si="54"/>
        <v>3.9369719626789479E-3</v>
      </c>
      <c r="AC141" s="81">
        <f t="shared" si="38"/>
        <v>3532094.7748015178</v>
      </c>
      <c r="AD141" s="81"/>
    </row>
    <row r="142" spans="2:30">
      <c r="B142" s="8">
        <f>[1]world_population_Raw_Data!B135</f>
        <v>134</v>
      </c>
      <c r="C142" s="9" t="str">
        <f>[1]world_population_Raw_Data!D135</f>
        <v>Mongolia</v>
      </c>
      <c r="D142" s="10" t="str">
        <f>[1]world_population_Raw_Data!F135</f>
        <v>Asia</v>
      </c>
      <c r="E142" s="11">
        <f>[1]world_population_Raw_Data!N135</f>
        <v>1293880</v>
      </c>
      <c r="F142" s="11">
        <f>[1]world_population_Raw_Data!M135</f>
        <v>1697780</v>
      </c>
      <c r="G142" s="18">
        <f t="shared" si="41"/>
        <v>0.31216186972516774</v>
      </c>
      <c r="H142" s="39">
        <f t="shared" si="42"/>
        <v>1.0275400101230643</v>
      </c>
      <c r="I142" s="11">
        <f>[1]world_population_Raw_Data!L135</f>
        <v>2161433</v>
      </c>
      <c r="J142" s="18">
        <f t="shared" si="43"/>
        <v>0.27309368705014786</v>
      </c>
      <c r="K142" s="39">
        <f t="shared" si="44"/>
        <v>1.0244388417759309</v>
      </c>
      <c r="L142" s="11">
        <f>[1]world_population_Raw_Data!K135</f>
        <v>2450979</v>
      </c>
      <c r="M142" s="18">
        <f t="shared" si="45"/>
        <v>0.1339602014034208</v>
      </c>
      <c r="N142" s="39">
        <f t="shared" si="46"/>
        <v>1.2650965783701063E-2</v>
      </c>
      <c r="O142" s="11">
        <f>[1]world_population_Raw_Data!J135</f>
        <v>2702520</v>
      </c>
      <c r="P142" s="18">
        <f t="shared" si="47"/>
        <v>0.10262878629315061</v>
      </c>
      <c r="Q142" s="39">
        <f t="shared" si="48"/>
        <v>9.8175928943331492E-3</v>
      </c>
      <c r="R142" s="11">
        <f>[1]world_population_Raw_Data!I135</f>
        <v>2964749</v>
      </c>
      <c r="S142" s="18">
        <f t="shared" si="49"/>
        <v>9.7031289315157698E-2</v>
      </c>
      <c r="T142" s="39">
        <f t="shared" si="50"/>
        <v>1.8694128319327596E-2</v>
      </c>
      <c r="U142" s="11">
        <f>[1]world_population_Raw_Data!H135</f>
        <v>3294335</v>
      </c>
      <c r="V142" s="18">
        <f t="shared" si="51"/>
        <v>0.11116826415996767</v>
      </c>
      <c r="W142" s="39">
        <f t="shared" si="52"/>
        <v>2.130619401318623E-2</v>
      </c>
      <c r="X142" s="11">
        <f>[1]world_population_Raw_Data!G135</f>
        <v>3398366</v>
      </c>
      <c r="Y142" s="18">
        <f t="shared" si="39"/>
        <v>3.1578755651747621E-2</v>
      </c>
      <c r="Z142" s="39">
        <f t="shared" si="53"/>
        <v>1.5666655774298599E-2</v>
      </c>
      <c r="AA142" s="19">
        <f t="shared" si="40"/>
        <v>4.2621244142323524E-4</v>
      </c>
      <c r="AB142" s="45">
        <f t="shared" si="54"/>
        <v>1.8743676364085582E-2</v>
      </c>
      <c r="AC142" s="81">
        <f t="shared" si="38"/>
        <v>3942662.0970189208</v>
      </c>
      <c r="AD142" s="81"/>
    </row>
    <row r="143" spans="2:30">
      <c r="B143" s="8">
        <f>[1]world_population_Raw_Data!B136</f>
        <v>135</v>
      </c>
      <c r="C143" s="9" t="str">
        <f>[1]world_population_Raw_Data!D136</f>
        <v>Moldova</v>
      </c>
      <c r="D143" s="10" t="str">
        <f>[1]world_population_Raw_Data!F136</f>
        <v>Europe</v>
      </c>
      <c r="E143" s="11">
        <f>[1]world_population_Raw_Data!N136</f>
        <v>3711140</v>
      </c>
      <c r="F143" s="11">
        <f>[1]world_population_Raw_Data!M136</f>
        <v>4103240</v>
      </c>
      <c r="G143" s="18">
        <f t="shared" si="41"/>
        <v>0.10565486615972451</v>
      </c>
      <c r="H143" s="39">
        <f t="shared" si="42"/>
        <v>1.0100943878956572</v>
      </c>
      <c r="I143" s="11">
        <f>[1]world_population_Raw_Data!L136</f>
        <v>4480199</v>
      </c>
      <c r="J143" s="18">
        <f t="shared" si="43"/>
        <v>9.1868620894707598E-2</v>
      </c>
      <c r="K143" s="39">
        <f t="shared" si="44"/>
        <v>1.0088277931116829</v>
      </c>
      <c r="L143" s="11">
        <f>[1]world_population_Raw_Data!K136</f>
        <v>4251573</v>
      </c>
      <c r="M143" s="18">
        <f t="shared" si="45"/>
        <v>-5.1030322537012306E-2</v>
      </c>
      <c r="N143" s="39">
        <f t="shared" si="46"/>
        <v>-5.2241497151548355E-3</v>
      </c>
      <c r="O143" s="11">
        <f>[1]world_population_Raw_Data!J136</f>
        <v>3678186</v>
      </c>
      <c r="P143" s="18">
        <f t="shared" si="47"/>
        <v>-0.13486467244005926</v>
      </c>
      <c r="Q143" s="39">
        <f t="shared" si="48"/>
        <v>-1.4382502903024452E-2</v>
      </c>
      <c r="R143" s="11">
        <f>[1]world_population_Raw_Data!I136</f>
        <v>3277388</v>
      </c>
      <c r="S143" s="18">
        <f t="shared" si="49"/>
        <v>-0.1089662132366335</v>
      </c>
      <c r="T143" s="39">
        <f t="shared" si="50"/>
        <v>-2.2810404034482645E-2</v>
      </c>
      <c r="U143" s="11">
        <f>[1]world_population_Raw_Data!H136</f>
        <v>3084847</v>
      </c>
      <c r="V143" s="18">
        <f t="shared" si="51"/>
        <v>-5.8748308103892491E-2</v>
      </c>
      <c r="W143" s="39">
        <f t="shared" si="52"/>
        <v>-1.2035922275888566E-2</v>
      </c>
      <c r="X143" s="11">
        <f>[1]world_population_Raw_Data!G136</f>
        <v>3272996</v>
      </c>
      <c r="Y143" s="18">
        <f t="shared" si="39"/>
        <v>6.0991355486998224E-2</v>
      </c>
      <c r="Z143" s="39">
        <f t="shared" si="53"/>
        <v>3.0044346369125119E-2</v>
      </c>
      <c r="AA143" s="19">
        <f t="shared" si="40"/>
        <v>4.1048892789313546E-4</v>
      </c>
      <c r="AB143" s="45">
        <f t="shared" si="54"/>
        <v>-2.4131094061830005E-3</v>
      </c>
      <c r="AC143" s="81">
        <f>X143*(1+AB143)^8</f>
        <v>3210342.3040139331</v>
      </c>
      <c r="AD143" s="81"/>
    </row>
    <row r="144" spans="2:30">
      <c r="B144" s="8">
        <f>[1]world_population_Raw_Data!B137</f>
        <v>136</v>
      </c>
      <c r="C144" s="9" t="str">
        <f>[1]world_population_Raw_Data!D137</f>
        <v>Puerto Rico</v>
      </c>
      <c r="D144" s="10" t="str">
        <f>[1]world_population_Raw_Data!F137</f>
        <v>North America</v>
      </c>
      <c r="E144" s="11">
        <f>[1]world_population_Raw_Data!N137</f>
        <v>2737619</v>
      </c>
      <c r="F144" s="11">
        <f>[1]world_population_Raw_Data!M137</f>
        <v>3214568</v>
      </c>
      <c r="G144" s="18">
        <f t="shared" si="41"/>
        <v>0.17422037179023087</v>
      </c>
      <c r="H144" s="39">
        <f t="shared" si="42"/>
        <v>1.0161901035028751</v>
      </c>
      <c r="I144" s="11">
        <f>[1]world_population_Raw_Data!L137</f>
        <v>3543776</v>
      </c>
      <c r="J144" s="18">
        <f t="shared" si="43"/>
        <v>0.1024112726811192</v>
      </c>
      <c r="K144" s="39">
        <f t="shared" si="44"/>
        <v>1.0097976706343947</v>
      </c>
      <c r="L144" s="11">
        <f>[1]world_population_Raw_Data!K137</f>
        <v>3827108</v>
      </c>
      <c r="M144" s="18">
        <f t="shared" si="45"/>
        <v>7.99520059958643E-2</v>
      </c>
      <c r="N144" s="39">
        <f t="shared" si="46"/>
        <v>7.7213169312686514E-3</v>
      </c>
      <c r="O144" s="11">
        <f>[1]world_population_Raw_Data!J137</f>
        <v>3717922</v>
      </c>
      <c r="P144" s="18">
        <f t="shared" si="47"/>
        <v>-2.8529636477465491E-2</v>
      </c>
      <c r="Q144" s="39">
        <f t="shared" si="48"/>
        <v>-2.8902667659842507E-3</v>
      </c>
      <c r="R144" s="11">
        <f>[1]world_population_Raw_Data!I137</f>
        <v>3497335</v>
      </c>
      <c r="S144" s="18">
        <f t="shared" si="49"/>
        <v>-5.9330722914574321E-2</v>
      </c>
      <c r="T144" s="39">
        <f t="shared" si="50"/>
        <v>-1.21582163202133E-2</v>
      </c>
      <c r="U144" s="11">
        <f>[1]world_population_Raw_Data!H137</f>
        <v>3271564</v>
      </c>
      <c r="V144" s="18">
        <f t="shared" si="51"/>
        <v>-6.4555154138794257E-2</v>
      </c>
      <c r="W144" s="39">
        <f t="shared" si="52"/>
        <v>-1.3257947186605779E-2</v>
      </c>
      <c r="X144" s="11">
        <f>[1]world_population_Raw_Data!G137</f>
        <v>3252407</v>
      </c>
      <c r="Y144" s="18">
        <f t="shared" si="39"/>
        <v>-5.8556091215088563E-3</v>
      </c>
      <c r="Z144" s="39">
        <f t="shared" si="53"/>
        <v>-2.9321031752695959E-3</v>
      </c>
      <c r="AA144" s="19">
        <f t="shared" si="40"/>
        <v>4.0790671986831912E-4</v>
      </c>
      <c r="AB144" s="45">
        <f t="shared" si="54"/>
        <v>3.3190878042799188E-3</v>
      </c>
      <c r="AC144" s="81">
        <f t="shared" ref="AC144:AC170" si="55">X144*(1+AB144)^8</f>
        <v>3339777.1123326663</v>
      </c>
      <c r="AD144" s="81"/>
    </row>
    <row r="145" spans="2:30">
      <c r="B145" s="8">
        <f>[1]world_population_Raw_Data!B138</f>
        <v>137</v>
      </c>
      <c r="C145" s="9" t="str">
        <f>[1]world_population_Raw_Data!D138</f>
        <v>Bosnia and Herzegovina</v>
      </c>
      <c r="D145" s="10" t="str">
        <f>[1]world_population_Raw_Data!F138</f>
        <v>Europe</v>
      </c>
      <c r="E145" s="11">
        <f>[1]world_population_Raw_Data!N138</f>
        <v>3815561</v>
      </c>
      <c r="F145" s="11">
        <f>[1]world_population_Raw_Data!M138</f>
        <v>4199820</v>
      </c>
      <c r="G145" s="18">
        <f t="shared" si="41"/>
        <v>0.10070838862227599</v>
      </c>
      <c r="H145" s="39">
        <f t="shared" si="42"/>
        <v>1.0096415796310112</v>
      </c>
      <c r="I145" s="11">
        <f>[1]world_population_Raw_Data!L138</f>
        <v>4494310</v>
      </c>
      <c r="J145" s="18">
        <f t="shared" si="43"/>
        <v>7.0119671795457902E-2</v>
      </c>
      <c r="K145" s="39">
        <f t="shared" si="44"/>
        <v>1.0068000646596309</v>
      </c>
      <c r="L145" s="11">
        <f>[1]world_population_Raw_Data!K138</f>
        <v>4179350</v>
      </c>
      <c r="M145" s="18">
        <f t="shared" si="45"/>
        <v>-7.0079723027561519E-2</v>
      </c>
      <c r="N145" s="39">
        <f t="shared" si="46"/>
        <v>-7.2393110515640569E-3</v>
      </c>
      <c r="O145" s="11">
        <f>[1]world_population_Raw_Data!J138</f>
        <v>3811088</v>
      </c>
      <c r="P145" s="18">
        <f t="shared" si="47"/>
        <v>-8.8114658978070748E-2</v>
      </c>
      <c r="Q145" s="39">
        <f t="shared" si="48"/>
        <v>-9.181690412165544E-3</v>
      </c>
      <c r="R145" s="11">
        <f>[1]world_population_Raw_Data!I138</f>
        <v>3524324</v>
      </c>
      <c r="S145" s="18">
        <f t="shared" si="49"/>
        <v>-7.5244654544843886E-2</v>
      </c>
      <c r="T145" s="39">
        <f t="shared" si="50"/>
        <v>-1.5523462981811509E-2</v>
      </c>
      <c r="U145" s="11">
        <f>[1]world_population_Raw_Data!H138</f>
        <v>3318407</v>
      </c>
      <c r="V145" s="18">
        <f t="shared" si="51"/>
        <v>-5.8427375008654144E-2</v>
      </c>
      <c r="W145" s="39">
        <f t="shared" si="52"/>
        <v>-1.1968559393639389E-2</v>
      </c>
      <c r="X145" s="11">
        <f>[1]world_population_Raw_Data!G138</f>
        <v>3233526</v>
      </c>
      <c r="Y145" s="18">
        <f t="shared" si="39"/>
        <v>-2.5578839485331364E-2</v>
      </c>
      <c r="Z145" s="39">
        <f t="shared" si="53"/>
        <v>-1.2872267376370039E-2</v>
      </c>
      <c r="AA145" s="19">
        <f t="shared" si="40"/>
        <v>4.0553872386479503E-4</v>
      </c>
      <c r="AB145" s="45">
        <f t="shared" si="54"/>
        <v>-3.1779112998373549E-3</v>
      </c>
      <c r="AC145" s="81">
        <f t="shared" si="55"/>
        <v>3152227.7024973035</v>
      </c>
      <c r="AD145" s="81"/>
    </row>
    <row r="146" spans="2:30">
      <c r="B146" s="8">
        <f>[1]world_population_Raw_Data!B139</f>
        <v>138</v>
      </c>
      <c r="C146" s="9" t="str">
        <f>[1]world_population_Raw_Data!D139</f>
        <v>Albania</v>
      </c>
      <c r="D146" s="10" t="str">
        <f>[1]world_population_Raw_Data!F139</f>
        <v>Europe</v>
      </c>
      <c r="E146" s="11">
        <f>[1]world_population_Raw_Data!N139</f>
        <v>2324731</v>
      </c>
      <c r="F146" s="11">
        <f>[1]world_population_Raw_Data!M139</f>
        <v>2941651</v>
      </c>
      <c r="G146" s="18">
        <f t="shared" si="41"/>
        <v>0.26537263881283468</v>
      </c>
      <c r="H146" s="39">
        <f t="shared" si="42"/>
        <v>1.0238158387716445</v>
      </c>
      <c r="I146" s="11">
        <f>[1]world_population_Raw_Data!L139</f>
        <v>3295066</v>
      </c>
      <c r="J146" s="18">
        <f t="shared" si="43"/>
        <v>0.12014171633548643</v>
      </c>
      <c r="K146" s="39">
        <f t="shared" si="44"/>
        <v>1.0114101254903662</v>
      </c>
      <c r="L146" s="11">
        <f>[1]world_population_Raw_Data!K139</f>
        <v>3182021</v>
      </c>
      <c r="M146" s="18">
        <f t="shared" si="45"/>
        <v>-3.4307355300318719E-2</v>
      </c>
      <c r="N146" s="39">
        <f t="shared" si="46"/>
        <v>-3.4848805182783327E-3</v>
      </c>
      <c r="O146" s="11">
        <f>[1]world_population_Raw_Data!J139</f>
        <v>2913399</v>
      </c>
      <c r="P146" s="18">
        <f t="shared" si="47"/>
        <v>-8.4418676055249164E-2</v>
      </c>
      <c r="Q146" s="39">
        <f t="shared" si="48"/>
        <v>-8.7808302101810565E-3</v>
      </c>
      <c r="R146" s="11">
        <f>[1]world_population_Raw_Data!I139</f>
        <v>2882481</v>
      </c>
      <c r="S146" s="18">
        <f t="shared" si="49"/>
        <v>-1.0612346609578709E-2</v>
      </c>
      <c r="T146" s="39">
        <f t="shared" si="50"/>
        <v>-2.1315368723663353E-3</v>
      </c>
      <c r="U146" s="11">
        <f>[1]world_population_Raw_Data!H139</f>
        <v>2866849</v>
      </c>
      <c r="V146" s="18">
        <f t="shared" si="51"/>
        <v>-5.423105997923317E-3</v>
      </c>
      <c r="W146" s="39">
        <f t="shared" si="52"/>
        <v>-1.0869816907712604E-3</v>
      </c>
      <c r="X146" s="11">
        <f>[1]world_population_Raw_Data!G139</f>
        <v>2842321</v>
      </c>
      <c r="Y146" s="18">
        <f t="shared" si="39"/>
        <v>-8.5557348852346258E-3</v>
      </c>
      <c r="Z146" s="39">
        <f t="shared" si="53"/>
        <v>-4.287056870924566E-3</v>
      </c>
      <c r="AA146" s="19">
        <f t="shared" si="40"/>
        <v>3.5647501555704456E-4</v>
      </c>
      <c r="AB146" s="45">
        <f t="shared" si="54"/>
        <v>3.8731860598626433E-3</v>
      </c>
      <c r="AC146" s="81">
        <f t="shared" si="55"/>
        <v>2931594.8976944839</v>
      </c>
      <c r="AD146" s="81"/>
    </row>
    <row r="147" spans="2:30">
      <c r="B147" s="8">
        <f>[1]world_population_Raw_Data!B140</f>
        <v>139</v>
      </c>
      <c r="C147" s="9" t="str">
        <f>[1]world_population_Raw_Data!D140</f>
        <v>Jamaica</v>
      </c>
      <c r="D147" s="10" t="str">
        <f>[1]world_population_Raw_Data!F140</f>
        <v>North America</v>
      </c>
      <c r="E147" s="11">
        <f>[1]world_population_Raw_Data!N140</f>
        <v>1859091</v>
      </c>
      <c r="F147" s="11">
        <f>[1]world_population_Raw_Data!M140</f>
        <v>2135546</v>
      </c>
      <c r="G147" s="18">
        <f t="shared" si="41"/>
        <v>0.14870439370638661</v>
      </c>
      <c r="H147" s="39">
        <f t="shared" si="42"/>
        <v>1.013960012827452</v>
      </c>
      <c r="I147" s="11">
        <f>[1]world_population_Raw_Data!L140</f>
        <v>2392030</v>
      </c>
      <c r="J147" s="18">
        <f t="shared" si="43"/>
        <v>0.12010230638909207</v>
      </c>
      <c r="K147" s="39">
        <f t="shared" si="44"/>
        <v>1.0114065669897467</v>
      </c>
      <c r="L147" s="11">
        <f>[1]world_population_Raw_Data!K140</f>
        <v>2612205</v>
      </c>
      <c r="M147" s="18">
        <f t="shared" si="45"/>
        <v>9.2045250268600304E-2</v>
      </c>
      <c r="N147" s="39">
        <f t="shared" si="46"/>
        <v>8.8441115265578407E-3</v>
      </c>
      <c r="O147" s="11">
        <f>[1]world_population_Raw_Data!J140</f>
        <v>2733896</v>
      </c>
      <c r="P147" s="18">
        <f t="shared" si="47"/>
        <v>4.6585547458947517E-2</v>
      </c>
      <c r="Q147" s="39">
        <f t="shared" si="48"/>
        <v>4.5636826066901559E-3</v>
      </c>
      <c r="R147" s="11">
        <f>[1]world_population_Raw_Data!I140</f>
        <v>2794445</v>
      </c>
      <c r="S147" s="18">
        <f t="shared" si="49"/>
        <v>2.214751402394239E-2</v>
      </c>
      <c r="T147" s="39">
        <f t="shared" si="50"/>
        <v>4.3907753182885756E-3</v>
      </c>
      <c r="U147" s="11">
        <f>[1]world_population_Raw_Data!H140</f>
        <v>2820436</v>
      </c>
      <c r="V147" s="18">
        <f t="shared" si="51"/>
        <v>9.3009524252579672E-3</v>
      </c>
      <c r="W147" s="39">
        <f t="shared" si="52"/>
        <v>1.8533082390852496E-3</v>
      </c>
      <c r="X147" s="11">
        <f>[1]world_population_Raw_Data!G140</f>
        <v>2827377</v>
      </c>
      <c r="Y147" s="18">
        <f t="shared" si="39"/>
        <v>2.4609670277928662E-3</v>
      </c>
      <c r="Z147" s="39">
        <f t="shared" si="53"/>
        <v>1.2297273991583868E-3</v>
      </c>
      <c r="AA147" s="19">
        <f t="shared" si="40"/>
        <v>3.5460078578761163E-4</v>
      </c>
      <c r="AB147" s="45">
        <f t="shared" si="54"/>
        <v>8.0953176209905831E-3</v>
      </c>
      <c r="AC147" s="81">
        <f t="shared" si="55"/>
        <v>3015758.0875172019</v>
      </c>
      <c r="AD147" s="81"/>
    </row>
    <row r="148" spans="2:30">
      <c r="B148" s="8">
        <f>[1]world_population_Raw_Data!B141</f>
        <v>140</v>
      </c>
      <c r="C148" s="9" t="str">
        <f>[1]world_population_Raw_Data!D141</f>
        <v>Armenia</v>
      </c>
      <c r="D148" s="10" t="str">
        <f>[1]world_population_Raw_Data!F141</f>
        <v>Asia</v>
      </c>
      <c r="E148" s="11">
        <f>[1]world_population_Raw_Data!N141</f>
        <v>2534377</v>
      </c>
      <c r="F148" s="11">
        <f>[1]world_population_Raw_Data!M141</f>
        <v>3135123</v>
      </c>
      <c r="G148" s="18">
        <f t="shared" si="41"/>
        <v>0.23703892514807387</v>
      </c>
      <c r="H148" s="39">
        <f t="shared" si="42"/>
        <v>1.0214999190501191</v>
      </c>
      <c r="I148" s="11">
        <f>[1]world_population_Raw_Data!L141</f>
        <v>3556539</v>
      </c>
      <c r="J148" s="18">
        <f t="shared" si="43"/>
        <v>0.13441769270296572</v>
      </c>
      <c r="K148" s="39">
        <f t="shared" si="44"/>
        <v>1.0126918133300857</v>
      </c>
      <c r="L148" s="11">
        <f>[1]world_population_Raw_Data!K141</f>
        <v>3168523</v>
      </c>
      <c r="M148" s="18">
        <f t="shared" si="45"/>
        <v>-0.10909932380890523</v>
      </c>
      <c r="N148" s="39">
        <f t="shared" si="46"/>
        <v>-1.1485762387984488E-2</v>
      </c>
      <c r="O148" s="11">
        <f>[1]world_population_Raw_Data!J141</f>
        <v>2946293</v>
      </c>
      <c r="P148" s="18">
        <f t="shared" si="47"/>
        <v>-7.0136779818230771E-2</v>
      </c>
      <c r="Q148" s="39">
        <f t="shared" si="48"/>
        <v>-7.2454024665207228E-3</v>
      </c>
      <c r="R148" s="11">
        <f>[1]world_population_Raw_Data!I141</f>
        <v>2878595</v>
      </c>
      <c r="S148" s="18">
        <f t="shared" si="49"/>
        <v>-2.2977348145618918E-2</v>
      </c>
      <c r="T148" s="39">
        <f t="shared" si="50"/>
        <v>-4.6382981358057407E-3</v>
      </c>
      <c r="U148" s="11">
        <f>[1]world_population_Raw_Data!H141</f>
        <v>2805608</v>
      </c>
      <c r="V148" s="18">
        <f t="shared" si="51"/>
        <v>-2.535507773757684E-2</v>
      </c>
      <c r="W148" s="39">
        <f t="shared" si="52"/>
        <v>-5.1232425177551999E-3</v>
      </c>
      <c r="X148" s="11">
        <f>[1]world_population_Raw_Data!G141</f>
        <v>2780469</v>
      </c>
      <c r="Y148" s="18">
        <f t="shared" si="39"/>
        <v>-8.9602681486508455E-3</v>
      </c>
      <c r="Z148" s="39">
        <f t="shared" si="53"/>
        <v>-4.4902150901030558E-3</v>
      </c>
      <c r="AA148" s="19">
        <f t="shared" si="40"/>
        <v>3.4871773104828068E-4</v>
      </c>
      <c r="AB148" s="45">
        <f t="shared" si="54"/>
        <v>1.7837384151626612E-3</v>
      </c>
      <c r="AC148" s="81">
        <f t="shared" si="55"/>
        <v>2820394.6276821489</v>
      </c>
      <c r="AD148" s="81"/>
    </row>
    <row r="149" spans="2:30">
      <c r="B149" s="8">
        <f>[1]world_population_Raw_Data!B142</f>
        <v>141</v>
      </c>
      <c r="C149" s="9" t="str">
        <f>[1]world_population_Raw_Data!D142</f>
        <v>Lithuania</v>
      </c>
      <c r="D149" s="10" t="str">
        <f>[1]world_population_Raw_Data!F142</f>
        <v>Europe</v>
      </c>
      <c r="E149" s="11">
        <f>[1]world_population_Raw_Data!N142</f>
        <v>3210147</v>
      </c>
      <c r="F149" s="11">
        <f>[1]world_population_Raw_Data!M142</f>
        <v>3521206</v>
      </c>
      <c r="G149" s="18">
        <f t="shared" si="41"/>
        <v>9.6898677848709105E-2</v>
      </c>
      <c r="H149" s="39">
        <f t="shared" si="42"/>
        <v>1.0092915826199567</v>
      </c>
      <c r="I149" s="11">
        <f>[1]world_population_Raw_Data!L142</f>
        <v>3785847</v>
      </c>
      <c r="J149" s="18">
        <f t="shared" si="43"/>
        <v>7.5156352681439262E-2</v>
      </c>
      <c r="K149" s="39">
        <f t="shared" si="44"/>
        <v>1.0072729297497531</v>
      </c>
      <c r="L149" s="11">
        <f>[1]world_population_Raw_Data!K142</f>
        <v>3599637</v>
      </c>
      <c r="M149" s="18">
        <f t="shared" si="45"/>
        <v>-4.9185822881907273E-2</v>
      </c>
      <c r="N149" s="39">
        <f t="shared" si="46"/>
        <v>-5.0309653754322392E-3</v>
      </c>
      <c r="O149" s="11">
        <f>[1]world_population_Raw_Data!J142</f>
        <v>3139019</v>
      </c>
      <c r="P149" s="18">
        <f t="shared" si="47"/>
        <v>-0.12796234731446532</v>
      </c>
      <c r="Q149" s="39">
        <f t="shared" si="48"/>
        <v>-1.3598954908656369E-2</v>
      </c>
      <c r="R149" s="11">
        <f>[1]world_population_Raw_Data!I142</f>
        <v>2963765</v>
      </c>
      <c r="S149" s="18">
        <f t="shared" si="49"/>
        <v>-5.5830818481825056E-2</v>
      </c>
      <c r="T149" s="39">
        <f t="shared" si="50"/>
        <v>-1.1424224483722489E-2</v>
      </c>
      <c r="U149" s="11">
        <f>[1]world_population_Raw_Data!H142</f>
        <v>2820267</v>
      </c>
      <c r="V149" s="18">
        <f t="shared" si="51"/>
        <v>-4.8417468996361047E-2</v>
      </c>
      <c r="W149" s="39">
        <f t="shared" si="52"/>
        <v>-9.8766737519652148E-3</v>
      </c>
      <c r="X149" s="11">
        <f>[1]world_population_Raw_Data!G142</f>
        <v>2750055</v>
      </c>
      <c r="Y149" s="18">
        <f t="shared" si="39"/>
        <v>-2.4895515211857601E-2</v>
      </c>
      <c r="Z149" s="39">
        <f t="shared" si="53"/>
        <v>-1.2526210581697339E-2</v>
      </c>
      <c r="AA149" s="19">
        <f t="shared" si="40"/>
        <v>3.4490330223353667E-4</v>
      </c>
      <c r="AB149" s="45">
        <f t="shared" si="54"/>
        <v>-2.9704989078120914E-3</v>
      </c>
      <c r="AC149" s="81">
        <f t="shared" si="55"/>
        <v>2685378.1464423887</v>
      </c>
      <c r="AD149" s="81"/>
    </row>
    <row r="150" spans="2:30">
      <c r="B150" s="8">
        <f>[1]world_population_Raw_Data!B143</f>
        <v>142</v>
      </c>
      <c r="C150" s="9" t="str">
        <f>[1]world_population_Raw_Data!D143</f>
        <v>Gambia</v>
      </c>
      <c r="D150" s="10" t="str">
        <f>[1]world_population_Raw_Data!F143</f>
        <v>Africa</v>
      </c>
      <c r="E150" s="11">
        <f>[1]world_population_Raw_Data!N143</f>
        <v>528731</v>
      </c>
      <c r="F150" s="11">
        <f>[1]world_population_Raw_Data!M143</f>
        <v>718586</v>
      </c>
      <c r="G150" s="18">
        <f t="shared" si="41"/>
        <v>0.35907673278094154</v>
      </c>
      <c r="H150" s="39">
        <f t="shared" si="42"/>
        <v>1.0311560583926829</v>
      </c>
      <c r="I150" s="11">
        <f>[1]world_population_Raw_Data!L143</f>
        <v>1040616</v>
      </c>
      <c r="J150" s="18">
        <f t="shared" si="43"/>
        <v>0.44814399389912968</v>
      </c>
      <c r="K150" s="39">
        <f t="shared" si="44"/>
        <v>1.0377223601884238</v>
      </c>
      <c r="L150" s="11">
        <f>[1]world_population_Raw_Data!K143</f>
        <v>1437539</v>
      </c>
      <c r="M150" s="18">
        <f t="shared" si="45"/>
        <v>0.38143080636853555</v>
      </c>
      <c r="N150" s="39">
        <f t="shared" si="46"/>
        <v>3.2839678124040983E-2</v>
      </c>
      <c r="O150" s="11">
        <f>[1]world_population_Raw_Data!J143</f>
        <v>1937275</v>
      </c>
      <c r="P150" s="18">
        <f t="shared" si="47"/>
        <v>0.34763300334808306</v>
      </c>
      <c r="Q150" s="39">
        <f t="shared" si="48"/>
        <v>3.0284494413304941E-2</v>
      </c>
      <c r="R150" s="11">
        <f>[1]world_population_Raw_Data!I143</f>
        <v>2253133</v>
      </c>
      <c r="S150" s="18">
        <f t="shared" si="49"/>
        <v>0.16304241782916726</v>
      </c>
      <c r="T150" s="39">
        <f t="shared" si="50"/>
        <v>3.0668755903102918E-2</v>
      </c>
      <c r="U150" s="11">
        <f>[1]world_population_Raw_Data!H143</f>
        <v>2573995</v>
      </c>
      <c r="V150" s="18">
        <f t="shared" si="51"/>
        <v>0.14240703944241195</v>
      </c>
      <c r="W150" s="39">
        <f t="shared" si="52"/>
        <v>2.6985174299887671E-2</v>
      </c>
      <c r="X150" s="11">
        <f>[1]world_population_Raw_Data!G143</f>
        <v>2705992</v>
      </c>
      <c r="Y150" s="18">
        <f t="shared" si="39"/>
        <v>5.1280985394299525E-2</v>
      </c>
      <c r="Z150" s="39">
        <f t="shared" si="53"/>
        <v>2.5319942941860241E-2</v>
      </c>
      <c r="AA150" s="19">
        <f t="shared" si="40"/>
        <v>3.3937705850156901E-4</v>
      </c>
      <c r="AB150" s="45">
        <f t="shared" si="54"/>
        <v>3.189707046325263E-2</v>
      </c>
      <c r="AC150" s="81">
        <f t="shared" si="55"/>
        <v>3478704.5427371957</v>
      </c>
      <c r="AD150" s="81"/>
    </row>
    <row r="151" spans="2:30">
      <c r="B151" s="8">
        <f>[1]world_population_Raw_Data!B144</f>
        <v>143</v>
      </c>
      <c r="C151" s="9" t="str">
        <f>[1]world_population_Raw_Data!D144</f>
        <v>Qatar</v>
      </c>
      <c r="D151" s="10" t="str">
        <f>[1]world_population_Raw_Data!F144</f>
        <v>Asia</v>
      </c>
      <c r="E151" s="11">
        <f>[1]world_population_Raw_Data!N144</f>
        <v>118007</v>
      </c>
      <c r="F151" s="11">
        <f>[1]world_population_Raw_Data!M144</f>
        <v>277450</v>
      </c>
      <c r="G151" s="18">
        <f t="shared" si="41"/>
        <v>1.3511317125255282</v>
      </c>
      <c r="H151" s="39">
        <f t="shared" si="42"/>
        <v>1.0892503193548237</v>
      </c>
      <c r="I151" s="11">
        <f>[1]world_population_Raw_Data!L144</f>
        <v>441675</v>
      </c>
      <c r="J151" s="18">
        <f t="shared" si="43"/>
        <v>0.59190845197332853</v>
      </c>
      <c r="K151" s="39">
        <f t="shared" si="44"/>
        <v>1.0475911210213431</v>
      </c>
      <c r="L151" s="11">
        <f>[1]world_population_Raw_Data!K144</f>
        <v>645937</v>
      </c>
      <c r="M151" s="18">
        <f t="shared" si="45"/>
        <v>0.46247127412690325</v>
      </c>
      <c r="N151" s="39">
        <f t="shared" si="46"/>
        <v>3.8744493230338684E-2</v>
      </c>
      <c r="O151" s="11">
        <f>[1]world_population_Raw_Data!J144</f>
        <v>1713504</v>
      </c>
      <c r="P151" s="18">
        <f t="shared" si="47"/>
        <v>1.6527416760458062</v>
      </c>
      <c r="Q151" s="39">
        <f t="shared" si="48"/>
        <v>0.10247689366340862</v>
      </c>
      <c r="R151" s="11">
        <f>[1]world_population_Raw_Data!I144</f>
        <v>2414573</v>
      </c>
      <c r="S151" s="18">
        <f t="shared" si="49"/>
        <v>0.40914348609632661</v>
      </c>
      <c r="T151" s="39">
        <f t="shared" si="50"/>
        <v>7.1003878272850152E-2</v>
      </c>
      <c r="U151" s="11">
        <f>[1]world_population_Raw_Data!H144</f>
        <v>2760385</v>
      </c>
      <c r="V151" s="18">
        <f t="shared" si="51"/>
        <v>0.14321869746741969</v>
      </c>
      <c r="W151" s="39">
        <f t="shared" si="52"/>
        <v>2.7131063451293791E-2</v>
      </c>
      <c r="X151" s="11">
        <f>[1]world_population_Raw_Data!G144</f>
        <v>2695122</v>
      </c>
      <c r="Y151" s="18">
        <f t="shared" si="39"/>
        <v>-2.3642716505125189E-2</v>
      </c>
      <c r="Z151" s="39">
        <f t="shared" si="53"/>
        <v>-1.1892068903970987E-2</v>
      </c>
      <c r="AA151" s="19">
        <f t="shared" si="40"/>
        <v>3.3801377707800531E-4</v>
      </c>
      <c r="AB151" s="45">
        <f t="shared" si="54"/>
        <v>6.2009207170801384E-2</v>
      </c>
      <c r="AC151" s="81">
        <f t="shared" si="55"/>
        <v>4361186.7549646823</v>
      </c>
      <c r="AD151" s="81"/>
    </row>
    <row r="152" spans="2:30">
      <c r="B152" s="8">
        <f>[1]world_population_Raw_Data!B145</f>
        <v>144</v>
      </c>
      <c r="C152" s="9" t="str">
        <f>[1]world_population_Raw_Data!D145</f>
        <v>Botswana</v>
      </c>
      <c r="D152" s="10" t="str">
        <f>[1]world_population_Raw_Data!F145</f>
        <v>Africa</v>
      </c>
      <c r="E152" s="11">
        <f>[1]world_population_Raw_Data!N145</f>
        <v>592244</v>
      </c>
      <c r="F152" s="11">
        <f>[1]world_population_Raw_Data!M145</f>
        <v>938578</v>
      </c>
      <c r="G152" s="18">
        <f t="shared" si="41"/>
        <v>0.58478262337820219</v>
      </c>
      <c r="H152" s="39">
        <f t="shared" si="42"/>
        <v>1.0471212425946861</v>
      </c>
      <c r="I152" s="11">
        <f>[1]world_population_Raw_Data!L145</f>
        <v>1341474</v>
      </c>
      <c r="J152" s="18">
        <f t="shared" si="43"/>
        <v>0.42926213910831068</v>
      </c>
      <c r="K152" s="39">
        <f t="shared" si="44"/>
        <v>1.0363613043870856</v>
      </c>
      <c r="L152" s="11">
        <f>[1]world_population_Raw_Data!K145</f>
        <v>1726985</v>
      </c>
      <c r="M152" s="18">
        <f t="shared" si="45"/>
        <v>0.28737865959384973</v>
      </c>
      <c r="N152" s="39">
        <f t="shared" si="46"/>
        <v>2.558256826042804E-2</v>
      </c>
      <c r="O152" s="11">
        <f>[1]world_population_Raw_Data!J145</f>
        <v>2091664</v>
      </c>
      <c r="P152" s="18">
        <f t="shared" si="47"/>
        <v>0.2111651230323367</v>
      </c>
      <c r="Q152" s="39">
        <f t="shared" si="48"/>
        <v>1.9342978261630561E-2</v>
      </c>
      <c r="R152" s="11">
        <f>[1]world_population_Raw_Data!I145</f>
        <v>2305171</v>
      </c>
      <c r="S152" s="18">
        <f t="shared" si="49"/>
        <v>0.10207518989665644</v>
      </c>
      <c r="T152" s="39">
        <f t="shared" si="50"/>
        <v>1.962915510398866E-2</v>
      </c>
      <c r="U152" s="11">
        <f>[1]world_population_Raw_Data!H145</f>
        <v>2546402</v>
      </c>
      <c r="V152" s="18">
        <f t="shared" si="51"/>
        <v>0.10464776799638725</v>
      </c>
      <c r="W152" s="39">
        <f t="shared" si="52"/>
        <v>2.0104736055462702E-2</v>
      </c>
      <c r="X152" s="11">
        <f>[1]world_population_Raw_Data!G145</f>
        <v>2630296</v>
      </c>
      <c r="Y152" s="18">
        <f t="shared" si="39"/>
        <v>3.2946094135961251E-2</v>
      </c>
      <c r="Z152" s="39">
        <f t="shared" si="53"/>
        <v>1.6339556514436415E-2</v>
      </c>
      <c r="AA152" s="19">
        <f t="shared" si="40"/>
        <v>3.2988350278509432E-4</v>
      </c>
      <c r="AB152" s="45">
        <f t="shared" si="54"/>
        <v>2.9086779979776933E-2</v>
      </c>
      <c r="AC152" s="81">
        <f t="shared" si="55"/>
        <v>3308419.847817353</v>
      </c>
      <c r="AD152" s="81"/>
    </row>
    <row r="153" spans="2:30">
      <c r="B153" s="8">
        <f>[1]world_population_Raw_Data!B146</f>
        <v>145</v>
      </c>
      <c r="C153" s="9" t="str">
        <f>[1]world_population_Raw_Data!D146</f>
        <v>Namibia</v>
      </c>
      <c r="D153" s="10" t="str">
        <f>[1]world_population_Raw_Data!F146</f>
        <v>Africa</v>
      </c>
      <c r="E153" s="11">
        <f>[1]world_population_Raw_Data!N146</f>
        <v>754467</v>
      </c>
      <c r="F153" s="11">
        <f>[1]world_population_Raw_Data!M146</f>
        <v>975994</v>
      </c>
      <c r="G153" s="18">
        <f t="shared" si="41"/>
        <v>0.29362052945987033</v>
      </c>
      <c r="H153" s="39">
        <f t="shared" si="42"/>
        <v>1.0260787415128534</v>
      </c>
      <c r="I153" s="11">
        <f>[1]world_population_Raw_Data!L146</f>
        <v>1369011</v>
      </c>
      <c r="J153" s="18">
        <f t="shared" si="43"/>
        <v>0.40268382797435232</v>
      </c>
      <c r="K153" s="39">
        <f t="shared" si="44"/>
        <v>1.0344177852861727</v>
      </c>
      <c r="L153" s="11">
        <f>[1]world_population_Raw_Data!K146</f>
        <v>1819141</v>
      </c>
      <c r="M153" s="18">
        <f t="shared" si="45"/>
        <v>0.32879940336491087</v>
      </c>
      <c r="N153" s="39">
        <f t="shared" si="46"/>
        <v>2.8835502988417527E-2</v>
      </c>
      <c r="O153" s="11">
        <f>[1]world_population_Raw_Data!J146</f>
        <v>2099271</v>
      </c>
      <c r="P153" s="18">
        <f t="shared" si="47"/>
        <v>0.15399026243705133</v>
      </c>
      <c r="Q153" s="39">
        <f t="shared" si="48"/>
        <v>1.4425632481877226E-2</v>
      </c>
      <c r="R153" s="11">
        <f>[1]world_population_Raw_Data!I146</f>
        <v>2282704</v>
      </c>
      <c r="S153" s="18">
        <f t="shared" si="49"/>
        <v>8.7379380746935478E-2</v>
      </c>
      <c r="T153" s="39">
        <f t="shared" si="50"/>
        <v>1.6895249969259174E-2</v>
      </c>
      <c r="U153" s="11">
        <f>[1]world_population_Raw_Data!H146</f>
        <v>2489098</v>
      </c>
      <c r="V153" s="18">
        <f t="shared" si="51"/>
        <v>9.0416453469218963E-2</v>
      </c>
      <c r="W153" s="39">
        <f t="shared" si="52"/>
        <v>1.74626582320907E-2</v>
      </c>
      <c r="X153" s="11">
        <f>[1]world_population_Raw_Data!G146</f>
        <v>2567012</v>
      </c>
      <c r="Y153" s="18">
        <f t="shared" si="39"/>
        <v>3.1302102207305615E-2</v>
      </c>
      <c r="Z153" s="39">
        <f t="shared" si="53"/>
        <v>1.5530453609002182E-2</v>
      </c>
      <c r="AA153" s="19">
        <f t="shared" si="40"/>
        <v>3.2194662131234303E-4</v>
      </c>
      <c r="AB153" s="45">
        <f t="shared" si="54"/>
        <v>2.3827252614371686E-2</v>
      </c>
      <c r="AC153" s="81">
        <f t="shared" si="55"/>
        <v>3099141.3421939998</v>
      </c>
      <c r="AD153" s="81"/>
    </row>
    <row r="154" spans="2:30">
      <c r="B154" s="8">
        <f>[1]world_population_Raw_Data!B147</f>
        <v>146</v>
      </c>
      <c r="C154" s="9" t="str">
        <f>[1]world_population_Raw_Data!D147</f>
        <v>Gabon</v>
      </c>
      <c r="D154" s="10" t="str">
        <f>[1]world_population_Raw_Data!F147</f>
        <v>Africa</v>
      </c>
      <c r="E154" s="11">
        <f>[1]world_population_Raw_Data!N147</f>
        <v>597192</v>
      </c>
      <c r="F154" s="11">
        <f>[1]world_population_Raw_Data!M147</f>
        <v>749078</v>
      </c>
      <c r="G154" s="18">
        <f t="shared" si="41"/>
        <v>0.25433361464989485</v>
      </c>
      <c r="H154" s="39">
        <f t="shared" si="42"/>
        <v>1.0229191429763109</v>
      </c>
      <c r="I154" s="11">
        <f>[1]world_population_Raw_Data!L147</f>
        <v>983028</v>
      </c>
      <c r="J154" s="18">
        <f t="shared" si="43"/>
        <v>0.31231727537052217</v>
      </c>
      <c r="K154" s="39">
        <f t="shared" si="44"/>
        <v>1.0275521791253936</v>
      </c>
      <c r="L154" s="11">
        <f>[1]world_population_Raw_Data!K147</f>
        <v>1272935</v>
      </c>
      <c r="M154" s="18">
        <f t="shared" si="45"/>
        <v>0.29491225071920635</v>
      </c>
      <c r="N154" s="39">
        <f t="shared" si="46"/>
        <v>2.6181152731023838E-2</v>
      </c>
      <c r="O154" s="11">
        <f>[1]world_population_Raw_Data!J147</f>
        <v>1711105</v>
      </c>
      <c r="P154" s="18">
        <f t="shared" si="47"/>
        <v>0.34422024690970082</v>
      </c>
      <c r="Q154" s="39">
        <f t="shared" si="48"/>
        <v>3.0023286549412997E-2</v>
      </c>
      <c r="R154" s="11">
        <f>[1]world_population_Raw_Data!I147</f>
        <v>2028517</v>
      </c>
      <c r="S154" s="18">
        <f t="shared" si="49"/>
        <v>0.18550118198474086</v>
      </c>
      <c r="T154" s="39">
        <f t="shared" si="50"/>
        <v>3.461887761236504E-2</v>
      </c>
      <c r="U154" s="11">
        <f>[1]world_population_Raw_Data!H147</f>
        <v>2292573</v>
      </c>
      <c r="V154" s="18">
        <f t="shared" si="51"/>
        <v>0.13017194334580384</v>
      </c>
      <c r="W154" s="39">
        <f t="shared" si="52"/>
        <v>2.4775902193259647E-2</v>
      </c>
      <c r="X154" s="11">
        <f>[1]world_population_Raw_Data!G147</f>
        <v>2388992</v>
      </c>
      <c r="Y154" s="18">
        <f t="shared" si="39"/>
        <v>4.2057112248988365E-2</v>
      </c>
      <c r="Z154" s="39">
        <f t="shared" si="53"/>
        <v>2.0811986728696441E-2</v>
      </c>
      <c r="AA154" s="19">
        <f t="shared" si="40"/>
        <v>2.9961990935072254E-4</v>
      </c>
      <c r="AB154" s="45">
        <f t="shared" si="54"/>
        <v>2.7019902656860717E-2</v>
      </c>
      <c r="AC154" s="81">
        <f t="shared" si="55"/>
        <v>2956960.8500438621</v>
      </c>
      <c r="AD154" s="81"/>
    </row>
    <row r="155" spans="2:30">
      <c r="B155" s="8">
        <f>[1]world_population_Raw_Data!B148</f>
        <v>147</v>
      </c>
      <c r="C155" s="9" t="str">
        <f>[1]world_population_Raw_Data!D148</f>
        <v>Lesotho</v>
      </c>
      <c r="D155" s="10" t="str">
        <f>[1]world_population_Raw_Data!F148</f>
        <v>Africa</v>
      </c>
      <c r="E155" s="11">
        <f>[1]world_population_Raw_Data!N148</f>
        <v>1023481</v>
      </c>
      <c r="F155" s="11">
        <f>[1]world_population_Raw_Data!M148</f>
        <v>1407672</v>
      </c>
      <c r="G155" s="18">
        <f t="shared" si="41"/>
        <v>0.37537677787863183</v>
      </c>
      <c r="H155" s="39">
        <f t="shared" si="42"/>
        <v>1.0323861478900873</v>
      </c>
      <c r="I155" s="11">
        <f>[1]world_population_Raw_Data!L148</f>
        <v>1798997</v>
      </c>
      <c r="J155" s="18">
        <f t="shared" si="43"/>
        <v>0.27799444757017261</v>
      </c>
      <c r="K155" s="39">
        <f t="shared" si="44"/>
        <v>1.0248325169400343</v>
      </c>
      <c r="L155" s="11">
        <f>[1]world_population_Raw_Data!K148</f>
        <v>1998630</v>
      </c>
      <c r="M155" s="18">
        <f t="shared" si="45"/>
        <v>0.11096905664656473</v>
      </c>
      <c r="N155" s="39">
        <f t="shared" si="46"/>
        <v>1.0578830143590512E-2</v>
      </c>
      <c r="O155" s="11">
        <f>[1]world_population_Raw_Data!J148</f>
        <v>2022747</v>
      </c>
      <c r="P155" s="18">
        <f t="shared" si="47"/>
        <v>1.2066765734528152E-2</v>
      </c>
      <c r="Q155" s="39">
        <f t="shared" si="48"/>
        <v>1.2001739064764205E-3</v>
      </c>
      <c r="R155" s="11">
        <f>[1]world_population_Raw_Data!I148</f>
        <v>2118521</v>
      </c>
      <c r="S155" s="18">
        <f t="shared" si="49"/>
        <v>4.7348482039523479E-2</v>
      </c>
      <c r="T155" s="39">
        <f t="shared" si="50"/>
        <v>9.2952782675943535E-3</v>
      </c>
      <c r="U155" s="11">
        <f>[1]world_population_Raw_Data!H148</f>
        <v>2254100</v>
      </c>
      <c r="V155" s="18">
        <f t="shared" si="51"/>
        <v>6.399700545805305E-2</v>
      </c>
      <c r="W155" s="39">
        <f t="shared" si="52"/>
        <v>1.2483795371651007E-2</v>
      </c>
      <c r="X155" s="11">
        <f>[1]world_population_Raw_Data!G148</f>
        <v>2305825</v>
      </c>
      <c r="Y155" s="18">
        <f t="shared" si="39"/>
        <v>2.2947074220309657E-2</v>
      </c>
      <c r="Z155" s="39">
        <f t="shared" si="53"/>
        <v>1.1408460623258732E-2</v>
      </c>
      <c r="AA155" s="19">
        <f t="shared" si="40"/>
        <v>2.8918936416640566E-4</v>
      </c>
      <c r="AB155" s="45">
        <f t="shared" si="54"/>
        <v>1.5742414362992951E-2</v>
      </c>
      <c r="AC155" s="81">
        <f t="shared" si="55"/>
        <v>2612733.0857013557</v>
      </c>
      <c r="AD155" s="81"/>
    </row>
    <row r="156" spans="2:30">
      <c r="B156" s="8">
        <f>[1]world_population_Raw_Data!B149</f>
        <v>148</v>
      </c>
      <c r="C156" s="9" t="str">
        <f>[1]world_population_Raw_Data!D149</f>
        <v>Slovenia</v>
      </c>
      <c r="D156" s="10" t="str">
        <f>[1]world_population_Raw_Data!F149</f>
        <v>Europe</v>
      </c>
      <c r="E156" s="11">
        <f>[1]world_population_Raw_Data!N149</f>
        <v>1741286</v>
      </c>
      <c r="F156" s="11">
        <f>[1]world_population_Raw_Data!M149</f>
        <v>1901570</v>
      </c>
      <c r="G156" s="18">
        <f t="shared" si="41"/>
        <v>9.2049209607152419E-2</v>
      </c>
      <c r="H156" s="39">
        <f t="shared" si="42"/>
        <v>1.0088444772942644</v>
      </c>
      <c r="I156" s="11">
        <f>[1]world_population_Raw_Data!L149</f>
        <v>1986024</v>
      </c>
      <c r="J156" s="18">
        <f t="shared" si="43"/>
        <v>4.4412774707215615E-2</v>
      </c>
      <c r="K156" s="39">
        <f t="shared" si="44"/>
        <v>1.0043549342236753</v>
      </c>
      <c r="L156" s="11">
        <f>[1]world_population_Raw_Data!K149</f>
        <v>1984339</v>
      </c>
      <c r="M156" s="18">
        <f t="shared" si="45"/>
        <v>-8.4842882059834126E-4</v>
      </c>
      <c r="N156" s="39">
        <f t="shared" si="46"/>
        <v>-8.4875291892050342E-5</v>
      </c>
      <c r="O156" s="11">
        <f>[1]world_population_Raw_Data!J149</f>
        <v>2057286</v>
      </c>
      <c r="P156" s="18">
        <f t="shared" si="47"/>
        <v>3.6761359828134207E-2</v>
      </c>
      <c r="Q156" s="39">
        <f t="shared" si="48"/>
        <v>3.616702264529037E-3</v>
      </c>
      <c r="R156" s="11">
        <f>[1]world_population_Raw_Data!I149</f>
        <v>2080862</v>
      </c>
      <c r="S156" s="18">
        <f t="shared" si="49"/>
        <v>1.1459758147384466E-2</v>
      </c>
      <c r="T156" s="39">
        <f t="shared" si="50"/>
        <v>2.2815172087635727E-3</v>
      </c>
      <c r="U156" s="11">
        <f>[1]world_population_Raw_Data!H149</f>
        <v>2117641</v>
      </c>
      <c r="V156" s="18">
        <f t="shared" si="51"/>
        <v>1.7674886657548652E-2</v>
      </c>
      <c r="W156" s="39">
        <f t="shared" si="52"/>
        <v>3.5102470061254554E-3</v>
      </c>
      <c r="X156" s="11">
        <f>[1]world_population_Raw_Data!G149</f>
        <v>2119844</v>
      </c>
      <c r="Y156" s="18">
        <f t="shared" si="39"/>
        <v>1.0403085319938554E-3</v>
      </c>
      <c r="Z156" s="39">
        <f t="shared" si="53"/>
        <v>5.2001905608767274E-4</v>
      </c>
      <c r="AA156" s="19">
        <f t="shared" si="40"/>
        <v>2.6586420846853946E-4</v>
      </c>
      <c r="AB156" s="45">
        <f t="shared" si="54"/>
        <v>3.7902143867607485E-3</v>
      </c>
      <c r="AC156" s="81">
        <f t="shared" si="55"/>
        <v>2184980.4869516394</v>
      </c>
      <c r="AD156" s="81"/>
    </row>
    <row r="157" spans="2:30">
      <c r="B157" s="8">
        <f>[1]world_population_Raw_Data!B150</f>
        <v>149</v>
      </c>
      <c r="C157" s="9" t="str">
        <f>[1]world_population_Raw_Data!D150</f>
        <v>Guinea-Bissau</v>
      </c>
      <c r="D157" s="10" t="str">
        <f>[1]world_population_Raw_Data!F150</f>
        <v>Africa</v>
      </c>
      <c r="E157" s="11">
        <f>[1]world_population_Raw_Data!N150</f>
        <v>591663</v>
      </c>
      <c r="F157" s="11">
        <f>[1]world_population_Raw_Data!M150</f>
        <v>831462</v>
      </c>
      <c r="G157" s="18">
        <f t="shared" si="41"/>
        <v>0.40529659620425817</v>
      </c>
      <c r="H157" s="39">
        <f t="shared" si="42"/>
        <v>1.0346103041640422</v>
      </c>
      <c r="I157" s="11">
        <f>[1]world_population_Raw_Data!L150</f>
        <v>973551</v>
      </c>
      <c r="J157" s="18">
        <f t="shared" si="43"/>
        <v>0.17089055182317411</v>
      </c>
      <c r="K157" s="39">
        <f t="shared" si="44"/>
        <v>1.0159015668774789</v>
      </c>
      <c r="L157" s="11">
        <f>[1]world_population_Raw_Data!K150</f>
        <v>1230849</v>
      </c>
      <c r="M157" s="18">
        <f t="shared" si="45"/>
        <v>0.26428815747711215</v>
      </c>
      <c r="N157" s="39">
        <f t="shared" si="46"/>
        <v>2.3728059284392922E-2</v>
      </c>
      <c r="O157" s="11">
        <f>[1]world_population_Raw_Data!J150</f>
        <v>1567220</v>
      </c>
      <c r="P157" s="18">
        <f t="shared" si="47"/>
        <v>0.2732837252985541</v>
      </c>
      <c r="Q157" s="39">
        <f t="shared" si="48"/>
        <v>2.4454132833371833E-2</v>
      </c>
      <c r="R157" s="11">
        <f>[1]world_population_Raw_Data!I150</f>
        <v>1788919</v>
      </c>
      <c r="S157" s="18">
        <f t="shared" si="49"/>
        <v>0.14146003751866362</v>
      </c>
      <c r="T157" s="39">
        <f t="shared" si="50"/>
        <v>2.6814853294452989E-2</v>
      </c>
      <c r="U157" s="11">
        <f>[1]world_population_Raw_Data!H150</f>
        <v>2015828</v>
      </c>
      <c r="V157" s="18">
        <f t="shared" si="51"/>
        <v>0.12684140534032004</v>
      </c>
      <c r="W157" s="39">
        <f t="shared" si="52"/>
        <v>2.4171200324287989E-2</v>
      </c>
      <c r="X157" s="11">
        <f>[1]world_population_Raw_Data!G150</f>
        <v>2105566</v>
      </c>
      <c r="Y157" s="18">
        <f t="shared" si="39"/>
        <v>4.4516694876745436E-2</v>
      </c>
      <c r="Z157" s="39">
        <f t="shared" si="53"/>
        <v>2.2015995411395428E-2</v>
      </c>
      <c r="AA157" s="19">
        <f t="shared" si="40"/>
        <v>2.6407350633738557E-4</v>
      </c>
      <c r="AB157" s="45">
        <f t="shared" si="54"/>
        <v>2.4711986354921445E-2</v>
      </c>
      <c r="AC157" s="81">
        <f t="shared" si="55"/>
        <v>2559666.5294436025</v>
      </c>
      <c r="AD157" s="81"/>
    </row>
    <row r="158" spans="2:30">
      <c r="B158" s="8">
        <f>[1]world_population_Raw_Data!B151</f>
        <v>150</v>
      </c>
      <c r="C158" s="9" t="str">
        <f>[1]world_population_Raw_Data!D151</f>
        <v>North Macedonia</v>
      </c>
      <c r="D158" s="10" t="str">
        <f>[1]world_population_Raw_Data!F151</f>
        <v>Europe</v>
      </c>
      <c r="E158" s="11">
        <f>[1]world_population_Raw_Data!N151</f>
        <v>1656783</v>
      </c>
      <c r="F158" s="11">
        <f>[1]world_population_Raw_Data!M151</f>
        <v>1907023</v>
      </c>
      <c r="G158" s="18">
        <f t="shared" si="41"/>
        <v>0.15103969560286409</v>
      </c>
      <c r="H158" s="39">
        <f t="shared" si="42"/>
        <v>1.0141659613096068</v>
      </c>
      <c r="I158" s="11">
        <f>[1]world_population_Raw_Data!L151</f>
        <v>2044174</v>
      </c>
      <c r="J158" s="18">
        <f t="shared" si="43"/>
        <v>7.1918901869563193E-2</v>
      </c>
      <c r="K158" s="39">
        <f t="shared" si="44"/>
        <v>1.0069692135786021</v>
      </c>
      <c r="L158" s="11">
        <f>[1]world_population_Raw_Data!K151</f>
        <v>2037936</v>
      </c>
      <c r="M158" s="18">
        <f t="shared" si="45"/>
        <v>-3.0515993256934096E-3</v>
      </c>
      <c r="N158" s="39">
        <f t="shared" si="46"/>
        <v>-3.0557979588796691E-4</v>
      </c>
      <c r="O158" s="11">
        <f>[1]world_population_Raw_Data!J151</f>
        <v>2093828</v>
      </c>
      <c r="P158" s="18">
        <f t="shared" si="47"/>
        <v>2.7425787659671352E-2</v>
      </c>
      <c r="Q158" s="39">
        <f t="shared" si="48"/>
        <v>2.709307423497842E-3</v>
      </c>
      <c r="R158" s="11">
        <f>[1]world_population_Raw_Data!I151</f>
        <v>2107962</v>
      </c>
      <c r="S158" s="18">
        <f t="shared" si="49"/>
        <v>6.7503156897319172E-3</v>
      </c>
      <c r="T158" s="39">
        <f t="shared" si="50"/>
        <v>1.3464324919061355E-3</v>
      </c>
      <c r="U158" s="11">
        <f>[1]world_population_Raw_Data!H151</f>
        <v>2111072</v>
      </c>
      <c r="V158" s="18">
        <f t="shared" si="51"/>
        <v>1.4753586639607355E-3</v>
      </c>
      <c r="W158" s="39">
        <f t="shared" si="52"/>
        <v>2.9489775212487856E-4</v>
      </c>
      <c r="X158" s="11">
        <f>[1]world_population_Raw_Data!G151</f>
        <v>2093599</v>
      </c>
      <c r="Y158" s="18">
        <f t="shared" si="39"/>
        <v>-8.2768375498325029E-3</v>
      </c>
      <c r="Z158" s="39">
        <f t="shared" si="53"/>
        <v>-4.1470176526218205E-3</v>
      </c>
      <c r="AA158" s="19">
        <f t="shared" si="40"/>
        <v>2.6257264260272253E-4</v>
      </c>
      <c r="AB158" s="45">
        <f t="shared" si="54"/>
        <v>4.5102720327447887E-3</v>
      </c>
      <c r="AC158" s="81">
        <f t="shared" si="55"/>
        <v>2170343.92217858</v>
      </c>
      <c r="AD158" s="81"/>
    </row>
    <row r="159" spans="2:30">
      <c r="B159" s="8">
        <f>[1]world_population_Raw_Data!B152</f>
        <v>151</v>
      </c>
      <c r="C159" s="9" t="str">
        <f>[1]world_population_Raw_Data!D152</f>
        <v>Latvia</v>
      </c>
      <c r="D159" s="10" t="str">
        <f>[1]world_population_Raw_Data!F152</f>
        <v>Europe</v>
      </c>
      <c r="E159" s="11">
        <f>[1]world_population_Raw_Data!N152</f>
        <v>2397414</v>
      </c>
      <c r="F159" s="11">
        <f>[1]world_population_Raw_Data!M152</f>
        <v>2572037</v>
      </c>
      <c r="G159" s="18">
        <f t="shared" si="41"/>
        <v>7.2838066349825273E-2</v>
      </c>
      <c r="H159" s="39">
        <f t="shared" si="42"/>
        <v>1.007055527326213</v>
      </c>
      <c r="I159" s="11">
        <f>[1]world_population_Raw_Data!L152</f>
        <v>2689391</v>
      </c>
      <c r="J159" s="18">
        <f t="shared" si="43"/>
        <v>4.5626870842060206E-2</v>
      </c>
      <c r="K159" s="39">
        <f t="shared" si="44"/>
        <v>1.0044716262127187</v>
      </c>
      <c r="L159" s="11">
        <f>[1]world_population_Raw_Data!K152</f>
        <v>2392530</v>
      </c>
      <c r="M159" s="18">
        <f t="shared" si="45"/>
        <v>-0.1103822389529823</v>
      </c>
      <c r="N159" s="39">
        <f t="shared" si="46"/>
        <v>-1.1628202781392538E-2</v>
      </c>
      <c r="O159" s="11">
        <f>[1]world_population_Raw_Data!J152</f>
        <v>2101530</v>
      </c>
      <c r="P159" s="18">
        <f t="shared" si="47"/>
        <v>-0.12162856892076589</v>
      </c>
      <c r="Q159" s="39">
        <f t="shared" si="48"/>
        <v>-1.2884843653099498E-2</v>
      </c>
      <c r="R159" s="11">
        <f>[1]world_population_Raw_Data!I152</f>
        <v>1991955</v>
      </c>
      <c r="S159" s="18">
        <f t="shared" si="49"/>
        <v>-5.2140583289317782E-2</v>
      </c>
      <c r="T159" s="39">
        <f t="shared" si="50"/>
        <v>-1.0652670571485556E-2</v>
      </c>
      <c r="U159" s="11">
        <f>[1]world_population_Raw_Data!H152</f>
        <v>1897052</v>
      </c>
      <c r="V159" s="18">
        <f t="shared" si="51"/>
        <v>-4.7643144548948142E-2</v>
      </c>
      <c r="W159" s="39">
        <f t="shared" si="52"/>
        <v>-9.7155889801613382E-3</v>
      </c>
      <c r="X159" s="11">
        <f>[1]world_population_Raw_Data!G152</f>
        <v>1850651</v>
      </c>
      <c r="Y159" s="18">
        <f t="shared" si="39"/>
        <v>-2.4459529838929035E-2</v>
      </c>
      <c r="Z159" s="39">
        <f t="shared" si="53"/>
        <v>-1.2305477305320389E-2</v>
      </c>
      <c r="AA159" s="19">
        <f t="shared" si="40"/>
        <v>2.3210286382701324E-4</v>
      </c>
      <c r="AB159" s="45">
        <f t="shared" si="54"/>
        <v>-4.9655764711585837E-3</v>
      </c>
      <c r="AC159" s="81">
        <f t="shared" si="55"/>
        <v>1778399.6765626234</v>
      </c>
      <c r="AD159" s="81"/>
    </row>
    <row r="160" spans="2:30">
      <c r="B160" s="8">
        <f>[1]world_population_Raw_Data!B153</f>
        <v>152</v>
      </c>
      <c r="C160" s="9" t="str">
        <f>[1]world_population_Raw_Data!D153</f>
        <v>Equatorial Guinea</v>
      </c>
      <c r="D160" s="10" t="str">
        <f>[1]world_population_Raw_Data!F153</f>
        <v>Africa</v>
      </c>
      <c r="E160" s="11">
        <f>[1]world_population_Raw_Data!N153</f>
        <v>316955</v>
      </c>
      <c r="F160" s="11">
        <f>[1]world_population_Raw_Data!M153</f>
        <v>282509</v>
      </c>
      <c r="G160" s="18">
        <f t="shared" si="41"/>
        <v>-0.108677888028269</v>
      </c>
      <c r="H160" s="39">
        <f t="shared" si="42"/>
        <v>0.98856098879611709</v>
      </c>
      <c r="I160" s="11">
        <f>[1]world_population_Raw_Data!L153</f>
        <v>465549</v>
      </c>
      <c r="J160" s="18">
        <f t="shared" si="43"/>
        <v>0.64790856220509785</v>
      </c>
      <c r="K160" s="39">
        <f t="shared" si="44"/>
        <v>1.0512192642960601</v>
      </c>
      <c r="L160" s="11">
        <f>[1]world_population_Raw_Data!K153</f>
        <v>684977</v>
      </c>
      <c r="M160" s="18">
        <f t="shared" si="45"/>
        <v>0.47133169655610901</v>
      </c>
      <c r="N160" s="39">
        <f t="shared" si="46"/>
        <v>3.937211023702103E-2</v>
      </c>
      <c r="O160" s="11">
        <f>[1]world_population_Raw_Data!J153</f>
        <v>1094524</v>
      </c>
      <c r="P160" s="18">
        <f t="shared" si="47"/>
        <v>0.59789890755456021</v>
      </c>
      <c r="Q160" s="39">
        <f t="shared" si="48"/>
        <v>4.7984670439585653E-2</v>
      </c>
      <c r="R160" s="11">
        <f>[1]world_population_Raw_Data!I153</f>
        <v>1346973</v>
      </c>
      <c r="S160" s="18">
        <f t="shared" si="49"/>
        <v>0.23064729507987033</v>
      </c>
      <c r="T160" s="39">
        <f t="shared" si="50"/>
        <v>4.2381560728385503E-2</v>
      </c>
      <c r="U160" s="11">
        <f>[1]world_population_Raw_Data!H153</f>
        <v>1596049</v>
      </c>
      <c r="V160" s="18">
        <f t="shared" si="51"/>
        <v>0.18491536207481515</v>
      </c>
      <c r="W160" s="39">
        <f t="shared" si="52"/>
        <v>3.4516605225774821E-2</v>
      </c>
      <c r="X160" s="11">
        <f>[1]world_population_Raw_Data!G153</f>
        <v>1674908</v>
      </c>
      <c r="Y160" s="18">
        <f t="shared" si="39"/>
        <v>4.9408884063083275E-2</v>
      </c>
      <c r="Z160" s="39">
        <f t="shared" si="53"/>
        <v>2.4406600946657031E-2</v>
      </c>
      <c r="AA160" s="19">
        <f t="shared" si="40"/>
        <v>2.1006172608815769E-4</v>
      </c>
      <c r="AB160" s="45">
        <f t="shared" si="54"/>
        <v>3.253247114747837E-2</v>
      </c>
      <c r="AC160" s="81">
        <f t="shared" si="55"/>
        <v>2163817.8696395336</v>
      </c>
      <c r="AD160" s="81"/>
    </row>
    <row r="161" spans="2:30">
      <c r="B161" s="8">
        <f>[1]world_population_Raw_Data!B154</f>
        <v>153</v>
      </c>
      <c r="C161" s="9" t="str">
        <f>[1]world_population_Raw_Data!D154</f>
        <v>Trinidad and Tobago</v>
      </c>
      <c r="D161" s="10" t="str">
        <f>[1]world_population_Raw_Data!F154</f>
        <v>North America</v>
      </c>
      <c r="E161" s="11">
        <f>[1]world_population_Raw_Data!N154</f>
        <v>988890</v>
      </c>
      <c r="F161" s="11">
        <f>[1]world_population_Raw_Data!M154</f>
        <v>1127852</v>
      </c>
      <c r="G161" s="18">
        <f t="shared" si="41"/>
        <v>0.1405232128952664</v>
      </c>
      <c r="H161" s="39">
        <f t="shared" si="42"/>
        <v>1.0132355360136278</v>
      </c>
      <c r="I161" s="11">
        <f>[1]world_population_Raw_Data!L154</f>
        <v>1266518</v>
      </c>
      <c r="J161" s="18">
        <f t="shared" si="43"/>
        <v>0.12294698240549291</v>
      </c>
      <c r="K161" s="39">
        <f t="shared" si="44"/>
        <v>1.0116631365153634</v>
      </c>
      <c r="L161" s="11">
        <f>[1]world_population_Raw_Data!K154</f>
        <v>1332203</v>
      </c>
      <c r="M161" s="18">
        <f t="shared" si="45"/>
        <v>5.1862665986586849E-2</v>
      </c>
      <c r="N161" s="39">
        <f t="shared" si="46"/>
        <v>5.0690604495393643E-3</v>
      </c>
      <c r="O161" s="11">
        <f>[1]world_population_Raw_Data!J154</f>
        <v>1410296</v>
      </c>
      <c r="P161" s="18">
        <f t="shared" si="47"/>
        <v>5.8619444634188632E-2</v>
      </c>
      <c r="Q161" s="39">
        <f t="shared" si="48"/>
        <v>5.7128211319710243E-3</v>
      </c>
      <c r="R161" s="11">
        <f>[1]world_population_Raw_Data!I154</f>
        <v>1460177</v>
      </c>
      <c r="S161" s="18">
        <f t="shared" si="49"/>
        <v>3.536917072727995E-2</v>
      </c>
      <c r="T161" s="39">
        <f t="shared" si="50"/>
        <v>6.9758284898187028E-3</v>
      </c>
      <c r="U161" s="11">
        <f>[1]world_population_Raw_Data!H154</f>
        <v>1518147</v>
      </c>
      <c r="V161" s="18">
        <f t="shared" si="51"/>
        <v>3.9700666426056568E-2</v>
      </c>
      <c r="W161" s="39">
        <f t="shared" si="52"/>
        <v>7.8169643714400827E-3</v>
      </c>
      <c r="X161" s="11">
        <f>[1]world_population_Raw_Data!G154</f>
        <v>1531044</v>
      </c>
      <c r="Y161" s="18">
        <f t="shared" si="39"/>
        <v>8.4952247707237843E-3</v>
      </c>
      <c r="Z161" s="39">
        <f t="shared" si="53"/>
        <v>4.2386293957845655E-3</v>
      </c>
      <c r="AA161" s="19">
        <f t="shared" si="40"/>
        <v>1.9201875288488518E-4</v>
      </c>
      <c r="AB161" s="45">
        <f t="shared" si="54"/>
        <v>8.441624186504848E-3</v>
      </c>
      <c r="AC161" s="81">
        <f t="shared" si="55"/>
        <v>1637547.0142926041</v>
      </c>
      <c r="AD161" s="81"/>
    </row>
    <row r="162" spans="2:30">
      <c r="B162" s="8">
        <f>[1]world_population_Raw_Data!B155</f>
        <v>154</v>
      </c>
      <c r="C162" s="9" t="str">
        <f>[1]world_population_Raw_Data!D155</f>
        <v>Bahrain</v>
      </c>
      <c r="D162" s="10" t="str">
        <f>[1]world_population_Raw_Data!F155</f>
        <v>Asia</v>
      </c>
      <c r="E162" s="11">
        <f>[1]world_population_Raw_Data!N155</f>
        <v>222555</v>
      </c>
      <c r="F162" s="11">
        <f>[1]world_population_Raw_Data!M155</f>
        <v>362595</v>
      </c>
      <c r="G162" s="18">
        <f t="shared" si="41"/>
        <v>0.62923771651951199</v>
      </c>
      <c r="H162" s="39">
        <f t="shared" si="42"/>
        <v>1.0500221137747665</v>
      </c>
      <c r="I162" s="11">
        <f>[1]world_population_Raw_Data!L155</f>
        <v>517418</v>
      </c>
      <c r="J162" s="18">
        <f t="shared" si="43"/>
        <v>0.42698603124698353</v>
      </c>
      <c r="K162" s="39">
        <f t="shared" si="44"/>
        <v>1.03619614488376</v>
      </c>
      <c r="L162" s="11">
        <f>[1]world_population_Raw_Data!K155</f>
        <v>711442</v>
      </c>
      <c r="M162" s="18">
        <f t="shared" si="45"/>
        <v>0.37498502178122911</v>
      </c>
      <c r="N162" s="39">
        <f t="shared" si="46"/>
        <v>3.2356738100412619E-2</v>
      </c>
      <c r="O162" s="11">
        <f>[1]world_population_Raw_Data!J155</f>
        <v>1213645</v>
      </c>
      <c r="P162" s="18">
        <f t="shared" si="47"/>
        <v>0.70589450721211289</v>
      </c>
      <c r="Q162" s="39">
        <f t="shared" si="48"/>
        <v>5.4860953996422879E-2</v>
      </c>
      <c r="R162" s="11">
        <f>[1]world_population_Raw_Data!I155</f>
        <v>1362142</v>
      </c>
      <c r="S162" s="18">
        <f t="shared" si="49"/>
        <v>0.12235620795207824</v>
      </c>
      <c r="T162" s="39">
        <f t="shared" si="50"/>
        <v>2.3354591862025265E-2</v>
      </c>
      <c r="U162" s="11">
        <f>[1]world_population_Raw_Data!H155</f>
        <v>1477469</v>
      </c>
      <c r="V162" s="18">
        <f t="shared" si="51"/>
        <v>8.4665915888358187E-2</v>
      </c>
      <c r="W162" s="39">
        <f t="shared" si="52"/>
        <v>1.6387227110522984E-2</v>
      </c>
      <c r="X162" s="11">
        <f>[1]world_population_Raw_Data!G155</f>
        <v>1472233</v>
      </c>
      <c r="Y162" s="18">
        <f t="shared" si="39"/>
        <v>-3.5438983829779169E-3</v>
      </c>
      <c r="Z162" s="39">
        <f t="shared" si="53"/>
        <v>-1.7735218814208809E-3</v>
      </c>
      <c r="AA162" s="19">
        <f t="shared" si="40"/>
        <v>1.8464286109084598E-4</v>
      </c>
      <c r="AB162" s="45">
        <f t="shared" si="54"/>
        <v>3.7002014012919915E-2</v>
      </c>
      <c r="AC162" s="81">
        <f t="shared" si="55"/>
        <v>1968853.2506947601</v>
      </c>
      <c r="AD162" s="81"/>
    </row>
    <row r="163" spans="2:30">
      <c r="B163" s="8">
        <f>[1]world_population_Raw_Data!B156</f>
        <v>155</v>
      </c>
      <c r="C163" s="9" t="str">
        <f>[1]world_population_Raw_Data!D156</f>
        <v>Timor-Leste</v>
      </c>
      <c r="D163" s="10" t="str">
        <f>[1]world_population_Raw_Data!F156</f>
        <v>Asia</v>
      </c>
      <c r="E163" s="11">
        <f>[1]world_population_Raw_Data!N156</f>
        <v>554021</v>
      </c>
      <c r="F163" s="11">
        <f>[1]world_population_Raw_Data!M156</f>
        <v>642224</v>
      </c>
      <c r="G163" s="18">
        <f t="shared" si="41"/>
        <v>0.15920515648323799</v>
      </c>
      <c r="H163" s="39">
        <f t="shared" si="42"/>
        <v>1.0148831229216786</v>
      </c>
      <c r="I163" s="11">
        <f>[1]world_population_Raw_Data!L156</f>
        <v>758106</v>
      </c>
      <c r="J163" s="18">
        <f t="shared" si="43"/>
        <v>0.18043860086200453</v>
      </c>
      <c r="K163" s="39">
        <f t="shared" si="44"/>
        <v>1.0167269614187269</v>
      </c>
      <c r="L163" s="11">
        <f>[1]world_population_Raw_Data!K156</f>
        <v>878360</v>
      </c>
      <c r="M163" s="18">
        <f t="shared" si="45"/>
        <v>0.1586242557109428</v>
      </c>
      <c r="N163" s="39">
        <f t="shared" si="46"/>
        <v>1.4832253636475112E-2</v>
      </c>
      <c r="O163" s="11">
        <f>[1]world_population_Raw_Data!J156</f>
        <v>1088486</v>
      </c>
      <c r="P163" s="18">
        <f t="shared" si="47"/>
        <v>0.23922537456168314</v>
      </c>
      <c r="Q163" s="39">
        <f t="shared" si="48"/>
        <v>2.1680324324098832E-2</v>
      </c>
      <c r="R163" s="11">
        <f>[1]world_population_Raw_Data!I156</f>
        <v>1205813</v>
      </c>
      <c r="S163" s="18">
        <f t="shared" si="49"/>
        <v>0.10778916770633706</v>
      </c>
      <c r="T163" s="39">
        <f t="shared" si="50"/>
        <v>2.0684272405788073E-2</v>
      </c>
      <c r="U163" s="11">
        <f>[1]world_population_Raw_Data!H156</f>
        <v>1299995</v>
      </c>
      <c r="V163" s="18">
        <f t="shared" si="51"/>
        <v>7.8106638425692876E-2</v>
      </c>
      <c r="W163" s="39">
        <f t="shared" si="52"/>
        <v>1.5154967331250324E-2</v>
      </c>
      <c r="X163" s="11">
        <f>[1]world_population_Raw_Data!G156</f>
        <v>1341296</v>
      </c>
      <c r="Y163" s="18">
        <f t="shared" si="39"/>
        <v>3.1770122192777667E-2</v>
      </c>
      <c r="Z163" s="39">
        <f t="shared" si="53"/>
        <v>1.5760858761932006E-2</v>
      </c>
      <c r="AA163" s="19">
        <f t="shared" si="40"/>
        <v>1.6822115182155769E-4</v>
      </c>
      <c r="AB163" s="45">
        <f t="shared" si="54"/>
        <v>1.714901921619183E-2</v>
      </c>
      <c r="AC163" s="81">
        <f t="shared" si="55"/>
        <v>1536743.2236883128</v>
      </c>
      <c r="AD163" s="81"/>
    </row>
    <row r="164" spans="2:30">
      <c r="B164" s="8">
        <f>[1]world_population_Raw_Data!B157</f>
        <v>156</v>
      </c>
      <c r="C164" s="9" t="str">
        <f>[1]world_population_Raw_Data!D157</f>
        <v>Estonia</v>
      </c>
      <c r="D164" s="10" t="str">
        <f>[1]world_population_Raw_Data!F157</f>
        <v>Europe</v>
      </c>
      <c r="E164" s="11">
        <f>[1]world_population_Raw_Data!N157</f>
        <v>1361999</v>
      </c>
      <c r="F164" s="11">
        <f>[1]world_population_Raw_Data!M157</f>
        <v>1476983</v>
      </c>
      <c r="G164" s="18">
        <f t="shared" si="41"/>
        <v>8.442296947354587E-2</v>
      </c>
      <c r="H164" s="39">
        <f t="shared" si="42"/>
        <v>1.0081377348343707</v>
      </c>
      <c r="I164" s="11">
        <f>[1]world_population_Raw_Data!L157</f>
        <v>1570674</v>
      </c>
      <c r="J164" s="18">
        <f t="shared" si="43"/>
        <v>6.3434040879278911E-2</v>
      </c>
      <c r="K164" s="39">
        <f t="shared" si="44"/>
        <v>1.0061692854273545</v>
      </c>
      <c r="L164" s="11">
        <f>[1]world_population_Raw_Data!K157</f>
        <v>1396877</v>
      </c>
      <c r="M164" s="18">
        <f t="shared" si="45"/>
        <v>-0.11065122361483032</v>
      </c>
      <c r="N164" s="39">
        <f t="shared" si="46"/>
        <v>-1.1658091239696633E-2</v>
      </c>
      <c r="O164" s="11">
        <f>[1]world_population_Raw_Data!J157</f>
        <v>1331535</v>
      </c>
      <c r="P164" s="18">
        <f t="shared" si="47"/>
        <v>-4.6777203719439865E-2</v>
      </c>
      <c r="Q164" s="39">
        <f t="shared" si="48"/>
        <v>-4.7792049338483134E-3</v>
      </c>
      <c r="R164" s="11">
        <f>[1]world_population_Raw_Data!I157</f>
        <v>1314657</v>
      </c>
      <c r="S164" s="18">
        <f t="shared" si="49"/>
        <v>-1.2675596210388761E-2</v>
      </c>
      <c r="T164" s="39">
        <f t="shared" si="50"/>
        <v>-2.5480715337251603E-3</v>
      </c>
      <c r="U164" s="11">
        <f>[1]world_population_Raw_Data!H157</f>
        <v>1329444</v>
      </c>
      <c r="V164" s="18">
        <f t="shared" si="51"/>
        <v>1.1247800757155669E-2</v>
      </c>
      <c r="W164" s="39">
        <f t="shared" si="52"/>
        <v>2.2395068801277507E-3</v>
      </c>
      <c r="X164" s="11">
        <f>[1]world_population_Raw_Data!G157</f>
        <v>1326062</v>
      </c>
      <c r="Y164" s="18">
        <f t="shared" si="39"/>
        <v>-2.54392061643815E-3</v>
      </c>
      <c r="Z164" s="39">
        <f t="shared" si="53"/>
        <v>-1.272770280312252E-3</v>
      </c>
      <c r="AA164" s="19">
        <f t="shared" si="40"/>
        <v>1.6631055115857979E-4</v>
      </c>
      <c r="AB164" s="45">
        <f t="shared" si="54"/>
        <v>-5.1409522461998147E-4</v>
      </c>
      <c r="AC164" s="81">
        <f t="shared" si="55"/>
        <v>1320618.0259454136</v>
      </c>
      <c r="AD164" s="81"/>
    </row>
    <row r="165" spans="2:30">
      <c r="B165" s="8">
        <f>[1]world_population_Raw_Data!B158</f>
        <v>157</v>
      </c>
      <c r="C165" s="9" t="str">
        <f>[1]world_population_Raw_Data!D158</f>
        <v>Mauritius</v>
      </c>
      <c r="D165" s="10" t="str">
        <f>[1]world_population_Raw_Data!F158</f>
        <v>Africa</v>
      </c>
      <c r="E165" s="11">
        <f>[1]world_population_Raw_Data!N158</f>
        <v>830115</v>
      </c>
      <c r="F165" s="11">
        <f>[1]world_population_Raw_Data!M158</f>
        <v>954865</v>
      </c>
      <c r="G165" s="18">
        <f t="shared" si="41"/>
        <v>0.15028038283852238</v>
      </c>
      <c r="H165" s="39">
        <f t="shared" si="42"/>
        <v>1.0140990393905633</v>
      </c>
      <c r="I165" s="11">
        <f>[1]world_population_Raw_Data!L158</f>
        <v>1090290</v>
      </c>
      <c r="J165" s="18">
        <f t="shared" si="43"/>
        <v>0.14182633147094093</v>
      </c>
      <c r="K165" s="39">
        <f t="shared" si="44"/>
        <v>1.0133512449842432</v>
      </c>
      <c r="L165" s="11">
        <f>[1]world_population_Raw_Data!K158</f>
        <v>1215930</v>
      </c>
      <c r="M165" s="18">
        <f t="shared" si="45"/>
        <v>0.11523539608727953</v>
      </c>
      <c r="N165" s="39">
        <f t="shared" si="46"/>
        <v>1.0966243254730168E-2</v>
      </c>
      <c r="O165" s="11">
        <f>[1]world_population_Raw_Data!J158</f>
        <v>1283330</v>
      </c>
      <c r="P165" s="18">
        <f t="shared" si="47"/>
        <v>5.5430822498005641E-2</v>
      </c>
      <c r="Q165" s="39">
        <f t="shared" si="48"/>
        <v>5.40948331581248E-3</v>
      </c>
      <c r="R165" s="11">
        <f>[1]world_population_Raw_Data!I158</f>
        <v>1293153</v>
      </c>
      <c r="S165" s="18">
        <f t="shared" si="49"/>
        <v>7.6543055955989496E-3</v>
      </c>
      <c r="T165" s="39">
        <f t="shared" si="50"/>
        <v>1.5261954586858195E-3</v>
      </c>
      <c r="U165" s="11">
        <f>[1]world_population_Raw_Data!H158</f>
        <v>1297828</v>
      </c>
      <c r="V165" s="18">
        <f t="shared" si="51"/>
        <v>3.6151947990686328E-3</v>
      </c>
      <c r="W165" s="39">
        <f t="shared" si="52"/>
        <v>7.2199565138020283E-4</v>
      </c>
      <c r="X165" s="11">
        <f>[1]world_population_Raw_Data!G158</f>
        <v>1299469</v>
      </c>
      <c r="Y165" s="18">
        <f t="shared" si="39"/>
        <v>1.2644202467507251E-3</v>
      </c>
      <c r="Z165" s="39">
        <f t="shared" si="53"/>
        <v>6.3201040479943238E-4</v>
      </c>
      <c r="AA165" s="19">
        <f t="shared" si="40"/>
        <v>1.6297534022050893E-4</v>
      </c>
      <c r="AB165" s="45">
        <f t="shared" si="54"/>
        <v>8.6554504480158556E-3</v>
      </c>
      <c r="AC165" s="81">
        <f t="shared" si="55"/>
        <v>1392222.475928002</v>
      </c>
      <c r="AD165" s="81"/>
    </row>
    <row r="166" spans="2:30">
      <c r="B166" s="8">
        <f>[1]world_population_Raw_Data!B159</f>
        <v>158</v>
      </c>
      <c r="C166" s="9" t="str">
        <f>[1]world_population_Raw_Data!D159</f>
        <v>Cyprus</v>
      </c>
      <c r="D166" s="10" t="str">
        <f>[1]world_population_Raw_Data!F159</f>
        <v>Europe</v>
      </c>
      <c r="E166" s="11">
        <f>[1]world_population_Raw_Data!N159</f>
        <v>640804</v>
      </c>
      <c r="F166" s="11">
        <f>[1]world_population_Raw_Data!M159</f>
        <v>679327</v>
      </c>
      <c r="G166" s="18">
        <f t="shared" si="41"/>
        <v>6.0116665938414866E-2</v>
      </c>
      <c r="H166" s="39">
        <f t="shared" si="42"/>
        <v>1.0058549701534225</v>
      </c>
      <c r="I166" s="11">
        <f>[1]world_population_Raw_Data!L159</f>
        <v>788500</v>
      </c>
      <c r="J166" s="18">
        <f t="shared" si="43"/>
        <v>0.16070758265165377</v>
      </c>
      <c r="K166" s="39">
        <f t="shared" si="44"/>
        <v>1.0150145835496613</v>
      </c>
      <c r="L166" s="11">
        <f>[1]world_population_Raw_Data!K159</f>
        <v>948237</v>
      </c>
      <c r="M166" s="18">
        <f t="shared" si="45"/>
        <v>0.20258338617628407</v>
      </c>
      <c r="N166" s="39">
        <f t="shared" si="46"/>
        <v>1.8618407279122451E-2</v>
      </c>
      <c r="O166" s="11">
        <f>[1]world_population_Raw_Data!J159</f>
        <v>1129686</v>
      </c>
      <c r="P166" s="18">
        <f t="shared" si="47"/>
        <v>0.19135406021912243</v>
      </c>
      <c r="Q166" s="39">
        <f t="shared" si="48"/>
        <v>1.7663234604741618E-2</v>
      </c>
      <c r="R166" s="11">
        <f>[1]world_population_Raw_Data!I159</f>
        <v>1187280</v>
      </c>
      <c r="S166" s="18">
        <f t="shared" si="49"/>
        <v>5.0982308358251759E-2</v>
      </c>
      <c r="T166" s="39">
        <f t="shared" si="50"/>
        <v>9.9946680899962725E-3</v>
      </c>
      <c r="U166" s="11">
        <f>[1]world_population_Raw_Data!H159</f>
        <v>1237537</v>
      </c>
      <c r="V166" s="18">
        <f t="shared" si="51"/>
        <v>4.2329526312243113E-2</v>
      </c>
      <c r="W166" s="39">
        <f t="shared" si="52"/>
        <v>8.3260982297796993E-3</v>
      </c>
      <c r="X166" s="11">
        <f>[1]world_population_Raw_Data!G159</f>
        <v>1251488</v>
      </c>
      <c r="Y166" s="18">
        <f t="shared" si="39"/>
        <v>1.1273198296293363E-2</v>
      </c>
      <c r="Z166" s="39">
        <f t="shared" si="53"/>
        <v>5.6208024381225741E-3</v>
      </c>
      <c r="AA166" s="19">
        <f t="shared" si="40"/>
        <v>1.5695771317506173E-4</v>
      </c>
      <c r="AB166" s="45">
        <f t="shared" si="54"/>
        <v>1.2955607621893073E-2</v>
      </c>
      <c r="AC166" s="81">
        <f t="shared" si="55"/>
        <v>1387234.8597896562</v>
      </c>
      <c r="AD166" s="81"/>
    </row>
    <row r="167" spans="2:30">
      <c r="B167" s="8">
        <f>[1]world_population_Raw_Data!B160</f>
        <v>159</v>
      </c>
      <c r="C167" s="9" t="str">
        <f>[1]world_population_Raw_Data!D160</f>
        <v>Eswatini</v>
      </c>
      <c r="D167" s="10" t="str">
        <f>[1]world_population_Raw_Data!F160</f>
        <v>Africa</v>
      </c>
      <c r="E167" s="11">
        <f>[1]world_population_Raw_Data!N160</f>
        <v>442865</v>
      </c>
      <c r="F167" s="11">
        <f>[1]world_population_Raw_Data!M160</f>
        <v>598564</v>
      </c>
      <c r="G167" s="18">
        <f t="shared" si="41"/>
        <v>0.35157214952637938</v>
      </c>
      <c r="H167" s="39">
        <f t="shared" si="42"/>
        <v>1.030585252319155</v>
      </c>
      <c r="I167" s="11">
        <f>[1]world_population_Raw_Data!L160</f>
        <v>854011</v>
      </c>
      <c r="J167" s="18">
        <f t="shared" si="43"/>
        <v>0.42676639423687357</v>
      </c>
      <c r="K167" s="39">
        <f t="shared" si="44"/>
        <v>1.0361801949877587</v>
      </c>
      <c r="L167" s="11">
        <f>[1]world_population_Raw_Data!K160</f>
        <v>1030496</v>
      </c>
      <c r="M167" s="18">
        <f t="shared" si="45"/>
        <v>0.20665424684225378</v>
      </c>
      <c r="N167" s="39">
        <f t="shared" si="46"/>
        <v>1.8962695300591914E-2</v>
      </c>
      <c r="O167" s="11">
        <f>[1]world_population_Raw_Data!J160</f>
        <v>1099920</v>
      </c>
      <c r="P167" s="18">
        <f t="shared" si="47"/>
        <v>6.7369499736049443E-2</v>
      </c>
      <c r="Q167" s="39">
        <f t="shared" si="48"/>
        <v>6.541020660835617E-3</v>
      </c>
      <c r="R167" s="11">
        <f>[1]world_population_Raw_Data!I160</f>
        <v>1133936</v>
      </c>
      <c r="S167" s="18">
        <f t="shared" si="49"/>
        <v>3.0925885518946834E-2</v>
      </c>
      <c r="T167" s="39">
        <f t="shared" si="50"/>
        <v>6.1100539787517505E-3</v>
      </c>
      <c r="U167" s="11">
        <f>[1]world_population_Raw_Data!H160</f>
        <v>1180655</v>
      </c>
      <c r="V167" s="18">
        <f t="shared" si="51"/>
        <v>4.1200737960519818E-2</v>
      </c>
      <c r="W167" s="39">
        <f t="shared" si="52"/>
        <v>8.10761068146304E-3</v>
      </c>
      <c r="X167" s="11">
        <f>[1]world_population_Raw_Data!G160</f>
        <v>1201670</v>
      </c>
      <c r="Y167" s="18">
        <f t="shared" si="39"/>
        <v>1.7799441835252467E-2</v>
      </c>
      <c r="Z167" s="39">
        <f t="shared" si="53"/>
        <v>8.8604669800738112E-3</v>
      </c>
      <c r="AA167" s="19">
        <f t="shared" si="40"/>
        <v>1.5070969533153848E-4</v>
      </c>
      <c r="AB167" s="45">
        <f t="shared" si="54"/>
        <v>1.9381634649906276E-2</v>
      </c>
      <c r="AC167" s="81">
        <f t="shared" si="55"/>
        <v>1401133.9587954348</v>
      </c>
      <c r="AD167" s="81"/>
    </row>
    <row r="168" spans="2:30">
      <c r="B168" s="8">
        <f>[1]world_population_Raw_Data!B161</f>
        <v>160</v>
      </c>
      <c r="C168" s="9" t="str">
        <f>[1]world_population_Raw_Data!D161</f>
        <v>Djibouti</v>
      </c>
      <c r="D168" s="10" t="str">
        <f>[1]world_population_Raw_Data!F161</f>
        <v>Africa</v>
      </c>
      <c r="E168" s="11">
        <f>[1]world_population_Raw_Data!N161</f>
        <v>144379</v>
      </c>
      <c r="F168" s="11">
        <f>[1]world_population_Raw_Data!M161</f>
        <v>324121</v>
      </c>
      <c r="G168" s="18">
        <f t="shared" si="41"/>
        <v>1.2449317421508668</v>
      </c>
      <c r="H168" s="39">
        <f t="shared" si="42"/>
        <v>1.084227239555714</v>
      </c>
      <c r="I168" s="11">
        <f>[1]world_population_Raw_Data!L161</f>
        <v>577173</v>
      </c>
      <c r="J168" s="18">
        <f t="shared" si="43"/>
        <v>0.78073312127261119</v>
      </c>
      <c r="K168" s="39">
        <f t="shared" si="44"/>
        <v>1.0593997927931522</v>
      </c>
      <c r="L168" s="11">
        <f>[1]world_population_Raw_Data!K161</f>
        <v>742033</v>
      </c>
      <c r="M168" s="18">
        <f t="shared" si="45"/>
        <v>0.28563359685917394</v>
      </c>
      <c r="N168" s="39">
        <f t="shared" si="46"/>
        <v>2.5443464001166705E-2</v>
      </c>
      <c r="O168" s="11">
        <f>[1]world_population_Raw_Data!J161</f>
        <v>919199</v>
      </c>
      <c r="P168" s="18">
        <f t="shared" si="47"/>
        <v>0.23875757547171084</v>
      </c>
      <c r="Q168" s="39">
        <f t="shared" si="48"/>
        <v>2.1641750038584373E-2</v>
      </c>
      <c r="R168" s="11">
        <f>[1]world_population_Raw_Data!I161</f>
        <v>1006259</v>
      </c>
      <c r="S168" s="18">
        <f t="shared" si="49"/>
        <v>9.4712896772080904E-2</v>
      </c>
      <c r="T168" s="39">
        <f t="shared" si="50"/>
        <v>1.8263195878229332E-2</v>
      </c>
      <c r="U168" s="11">
        <f>[1]world_population_Raw_Data!H161</f>
        <v>1090156</v>
      </c>
      <c r="V168" s="18">
        <f t="shared" si="51"/>
        <v>8.3375154905446808E-2</v>
      </c>
      <c r="W168" s="39">
        <f t="shared" si="52"/>
        <v>1.6145210121140785E-2</v>
      </c>
      <c r="X168" s="11">
        <f>[1]world_population_Raw_Data!G161</f>
        <v>1120849</v>
      </c>
      <c r="Y168" s="18">
        <f t="shared" si="39"/>
        <v>2.8154686118317011E-2</v>
      </c>
      <c r="Z168" s="39">
        <f t="shared" si="53"/>
        <v>1.397962805882691E-2</v>
      </c>
      <c r="AA168" s="19">
        <f t="shared" si="40"/>
        <v>1.4057337813431272E-4</v>
      </c>
      <c r="AB168" s="45">
        <f t="shared" si="54"/>
        <v>4.0198475783335796E-2</v>
      </c>
      <c r="AC168" s="81">
        <f t="shared" si="55"/>
        <v>1536302.7685068063</v>
      </c>
      <c r="AD168" s="81"/>
    </row>
    <row r="169" spans="2:30">
      <c r="B169" s="8">
        <f>[1]world_population_Raw_Data!B162</f>
        <v>161</v>
      </c>
      <c r="C169" s="9" t="str">
        <f>[1]world_population_Raw_Data!D162</f>
        <v>Reunion</v>
      </c>
      <c r="D169" s="10" t="str">
        <f>[1]world_population_Raw_Data!F162</f>
        <v>Africa</v>
      </c>
      <c r="E169" s="11">
        <f>[1]world_population_Raw_Data!N162</f>
        <v>473925</v>
      </c>
      <c r="F169" s="11">
        <f>[1]world_population_Raw_Data!M162</f>
        <v>551674</v>
      </c>
      <c r="G169" s="18">
        <f t="shared" si="41"/>
        <v>0.16405338397425753</v>
      </c>
      <c r="H169" s="39">
        <f t="shared" si="42"/>
        <v>1.0153067880675128</v>
      </c>
      <c r="I169" s="11">
        <f>[1]world_population_Raw_Data!L162</f>
        <v>658992</v>
      </c>
      <c r="J169" s="18">
        <f t="shared" si="43"/>
        <v>0.19453155305488387</v>
      </c>
      <c r="K169" s="39">
        <f t="shared" si="44"/>
        <v>1.0179343331200175</v>
      </c>
      <c r="L169" s="11">
        <f>[1]world_population_Raw_Data!K162</f>
        <v>785424</v>
      </c>
      <c r="M169" s="18">
        <f t="shared" si="45"/>
        <v>0.19185665379852868</v>
      </c>
      <c r="N169" s="39">
        <f t="shared" si="46"/>
        <v>1.7706158362914781E-2</v>
      </c>
      <c r="O169" s="11">
        <f>[1]world_population_Raw_Data!J162</f>
        <v>890130</v>
      </c>
      <c r="P169" s="18">
        <f t="shared" si="47"/>
        <v>0.13331143433355741</v>
      </c>
      <c r="Q169" s="39">
        <f t="shared" si="48"/>
        <v>1.2593014560844606E-2</v>
      </c>
      <c r="R169" s="11">
        <f>[1]world_population_Raw_Data!I162</f>
        <v>922495</v>
      </c>
      <c r="S169" s="18">
        <f t="shared" si="49"/>
        <v>3.6359857548897354E-2</v>
      </c>
      <c r="T169" s="39">
        <f t="shared" si="50"/>
        <v>7.1684585414106827E-3</v>
      </c>
      <c r="U169" s="11">
        <f>[1]world_population_Raw_Data!H162</f>
        <v>957822</v>
      </c>
      <c r="V169" s="18">
        <f t="shared" si="51"/>
        <v>3.8295058509802221E-2</v>
      </c>
      <c r="W169" s="39">
        <f t="shared" si="52"/>
        <v>7.5443162470067993E-3</v>
      </c>
      <c r="X169" s="11">
        <f>[1]world_population_Raw_Data!G162</f>
        <v>974052</v>
      </c>
      <c r="Y169" s="18">
        <f t="shared" si="39"/>
        <v>1.6944693272862809E-2</v>
      </c>
      <c r="Z169" s="39">
        <f t="shared" si="53"/>
        <v>8.4367572004020452E-3</v>
      </c>
      <c r="AA169" s="19">
        <f t="shared" si="40"/>
        <v>1.2216255723873919E-4</v>
      </c>
      <c r="AB169" s="45">
        <f t="shared" si="54"/>
        <v>1.395055973909054E-2</v>
      </c>
      <c r="AC169" s="81">
        <f t="shared" si="55"/>
        <v>1088219.1817271386</v>
      </c>
      <c r="AD169" s="81"/>
    </row>
    <row r="170" spans="2:30">
      <c r="B170" s="8">
        <f>[1]world_population_Raw_Data!B163</f>
        <v>162</v>
      </c>
      <c r="C170" s="9" t="str">
        <f>[1]world_population_Raw_Data!D163</f>
        <v>Fiji</v>
      </c>
      <c r="D170" s="10" t="str">
        <f>[1]world_population_Raw_Data!F163</f>
        <v>Oceania</v>
      </c>
      <c r="E170" s="11">
        <f>[1]world_population_Raw_Data!N163</f>
        <v>527634</v>
      </c>
      <c r="F170" s="11">
        <f>[1]world_population_Raw_Data!M163</f>
        <v>644582</v>
      </c>
      <c r="G170" s="18">
        <f t="shared" si="41"/>
        <v>0.22164606526493744</v>
      </c>
      <c r="H170" s="39">
        <f t="shared" si="42"/>
        <v>1.0202216609229133</v>
      </c>
      <c r="I170" s="11">
        <f>[1]world_population_Raw_Data!L163</f>
        <v>780430</v>
      </c>
      <c r="J170" s="18">
        <f t="shared" si="43"/>
        <v>0.2107536356894856</v>
      </c>
      <c r="K170" s="39">
        <f t="shared" si="44"/>
        <v>1.0193083412937531</v>
      </c>
      <c r="L170" s="11">
        <f>[1]world_population_Raw_Data!K163</f>
        <v>832509</v>
      </c>
      <c r="M170" s="18">
        <f t="shared" si="45"/>
        <v>6.6731161026613528E-2</v>
      </c>
      <c r="N170" s="39">
        <f t="shared" si="46"/>
        <v>6.4808084216469997E-3</v>
      </c>
      <c r="O170" s="11">
        <f>[1]world_population_Raw_Data!J163</f>
        <v>905169</v>
      </c>
      <c r="P170" s="18">
        <f t="shared" si="47"/>
        <v>8.7278335729703824E-2</v>
      </c>
      <c r="Q170" s="39">
        <f t="shared" si="48"/>
        <v>8.4028709868895213E-3</v>
      </c>
      <c r="R170" s="11">
        <f>[1]world_population_Raw_Data!I163</f>
        <v>917200</v>
      </c>
      <c r="S170" s="18">
        <f t="shared" si="49"/>
        <v>1.3291440603909325E-2</v>
      </c>
      <c r="T170" s="39">
        <f t="shared" si="50"/>
        <v>2.6442667998445302E-3</v>
      </c>
      <c r="U170" s="11">
        <f>[1]world_population_Raw_Data!H163</f>
        <v>920422</v>
      </c>
      <c r="V170" s="18">
        <f t="shared" si="51"/>
        <v>3.5128652420409944E-3</v>
      </c>
      <c r="W170" s="39">
        <f t="shared" si="52"/>
        <v>7.015879063063668E-4</v>
      </c>
      <c r="X170" s="11">
        <f>[1]world_population_Raw_Data!G163</f>
        <v>929766</v>
      </c>
      <c r="Y170" s="18">
        <f t="shared" si="39"/>
        <v>1.0151865122737179E-2</v>
      </c>
      <c r="Z170" s="39">
        <f t="shared" si="53"/>
        <v>5.063114994644069E-3</v>
      </c>
      <c r="AA170" s="19">
        <f t="shared" si="40"/>
        <v>1.166083455438042E-4</v>
      </c>
      <c r="AB170" s="45">
        <f t="shared" si="54"/>
        <v>1.0954373784256344E-2</v>
      </c>
      <c r="AC170" s="81">
        <f t="shared" si="55"/>
        <v>1014439.3916984278</v>
      </c>
      <c r="AD170" s="81"/>
    </row>
    <row r="171" spans="2:30">
      <c r="B171" s="8">
        <f>[1]world_population_Raw_Data!B164</f>
        <v>163</v>
      </c>
      <c r="C171" s="9" t="str">
        <f>[1]world_population_Raw_Data!D164</f>
        <v>Comoros</v>
      </c>
      <c r="D171" s="10" t="str">
        <f>[1]world_population_Raw_Data!F164</f>
        <v>Africa</v>
      </c>
      <c r="E171" s="11">
        <f>[1]world_population_Raw_Data!N164</f>
        <v>242351</v>
      </c>
      <c r="F171" s="11">
        <f>[1]world_population_Raw_Data!M164</f>
        <v>328328</v>
      </c>
      <c r="G171" s="18">
        <f t="shared" si="41"/>
        <v>0.3547623075621722</v>
      </c>
      <c r="H171" s="39">
        <f t="shared" si="42"/>
        <v>1.0308282465964105</v>
      </c>
      <c r="I171" s="11">
        <f>[1]world_population_Raw_Data!L164</f>
        <v>431119</v>
      </c>
      <c r="J171" s="18">
        <f t="shared" si="43"/>
        <v>0.31307412100095028</v>
      </c>
      <c r="K171" s="39">
        <f t="shared" si="44"/>
        <v>1.0276114252110846</v>
      </c>
      <c r="L171" s="11">
        <f>[1]world_population_Raw_Data!K164</f>
        <v>536758</v>
      </c>
      <c r="M171" s="18">
        <f t="shared" si="45"/>
        <v>0.24503443364825025</v>
      </c>
      <c r="N171" s="39">
        <f t="shared" si="46"/>
        <v>2.2158245369182872E-2</v>
      </c>
      <c r="O171" s="11">
        <f>[1]world_population_Raw_Data!J164</f>
        <v>656024</v>
      </c>
      <c r="P171" s="18">
        <f t="shared" si="47"/>
        <v>0.2221969677210214</v>
      </c>
      <c r="Q171" s="39">
        <f t="shared" si="48"/>
        <v>2.0267658582395098E-2</v>
      </c>
      <c r="R171" s="11">
        <f>[1]world_population_Raw_Data!I164</f>
        <v>730216</v>
      </c>
      <c r="S171" s="18">
        <f t="shared" si="49"/>
        <v>0.11309342341133861</v>
      </c>
      <c r="T171" s="39">
        <f t="shared" si="50"/>
        <v>2.1659842680570973E-2</v>
      </c>
      <c r="U171" s="11">
        <f>[1]world_population_Raw_Data!H164</f>
        <v>806166</v>
      </c>
      <c r="V171" s="18">
        <f t="shared" si="51"/>
        <v>0.10401032023401295</v>
      </c>
      <c r="W171" s="39">
        <f t="shared" si="52"/>
        <v>1.9986976594289496E-2</v>
      </c>
      <c r="X171" s="11">
        <f>[1]world_population_Raw_Data!G164</f>
        <v>836774</v>
      </c>
      <c r="Y171" s="18">
        <f t="shared" si="39"/>
        <v>3.7967366522527621E-2</v>
      </c>
      <c r="Z171" s="39">
        <f t="shared" si="53"/>
        <v>1.8806834744706347E-2</v>
      </c>
      <c r="AA171" s="19">
        <f t="shared" si="40"/>
        <v>1.0494557956955967E-4</v>
      </c>
      <c r="AB171" s="45">
        <f t="shared" si="54"/>
        <v>2.4116339889558525E-2</v>
      </c>
      <c r="AC171" s="81">
        <f>X171*(1+AB171)^8</f>
        <v>1012517.5060731921</v>
      </c>
      <c r="AD171" s="81"/>
    </row>
    <row r="172" spans="2:30">
      <c r="B172" s="8">
        <f>[1]world_population_Raw_Data!B165</f>
        <v>164</v>
      </c>
      <c r="C172" s="9" t="str">
        <f>[1]world_population_Raw_Data!D165</f>
        <v>Guyana</v>
      </c>
      <c r="D172" s="10" t="str">
        <f>[1]world_population_Raw_Data!F165</f>
        <v>South America</v>
      </c>
      <c r="E172" s="11">
        <f>[1]world_population_Raw_Data!N165</f>
        <v>705261</v>
      </c>
      <c r="F172" s="11">
        <f>[1]world_population_Raw_Data!M165</f>
        <v>778176</v>
      </c>
      <c r="G172" s="18">
        <f t="shared" si="41"/>
        <v>0.10338725663265089</v>
      </c>
      <c r="H172" s="39">
        <f t="shared" si="42"/>
        <v>1.0098870341895978</v>
      </c>
      <c r="I172" s="11">
        <f>[1]world_population_Raw_Data!L165</f>
        <v>747116</v>
      </c>
      <c r="J172" s="18">
        <f t="shared" si="43"/>
        <v>-3.9913849823176251E-2</v>
      </c>
      <c r="K172" s="39">
        <f t="shared" si="44"/>
        <v>0.99593505845481289</v>
      </c>
      <c r="L172" s="11">
        <f>[1]world_population_Raw_Data!K165</f>
        <v>759051</v>
      </c>
      <c r="M172" s="18">
        <f t="shared" si="45"/>
        <v>1.5974761616669969E-2</v>
      </c>
      <c r="N172" s="39">
        <f t="shared" si="46"/>
        <v>1.5861073316654206E-3</v>
      </c>
      <c r="O172" s="11">
        <f>[1]world_population_Raw_Data!J165</f>
        <v>747932</v>
      </c>
      <c r="P172" s="18">
        <f t="shared" si="47"/>
        <v>-1.4648554576701698E-2</v>
      </c>
      <c r="Q172" s="39">
        <f t="shared" si="48"/>
        <v>-1.4746021106112339E-3</v>
      </c>
      <c r="R172" s="11">
        <f>[1]world_population_Raw_Data!I165</f>
        <v>755031</v>
      </c>
      <c r="S172" s="18">
        <f t="shared" si="49"/>
        <v>9.491504575282245E-3</v>
      </c>
      <c r="T172" s="39">
        <f t="shared" si="50"/>
        <v>1.8911345952761227E-3</v>
      </c>
      <c r="U172" s="11">
        <f>[1]world_population_Raw_Data!H165</f>
        <v>797202</v>
      </c>
      <c r="V172" s="18">
        <f t="shared" si="51"/>
        <v>5.5853335823297323E-2</v>
      </c>
      <c r="W172" s="39">
        <f t="shared" si="52"/>
        <v>1.0929149361489143E-2</v>
      </c>
      <c r="X172" s="11">
        <f>[1]world_population_Raw_Data!G165</f>
        <v>808726</v>
      </c>
      <c r="Y172" s="18">
        <f t="shared" si="39"/>
        <v>1.4455558315207439E-2</v>
      </c>
      <c r="Z172" s="39">
        <f t="shared" si="53"/>
        <v>7.2018458656673001E-3</v>
      </c>
      <c r="AA172" s="19">
        <f t="shared" si="40"/>
        <v>1.0142788707939267E-4</v>
      </c>
      <c r="AB172" s="45">
        <f t="shared" si="54"/>
        <v>2.6360109311287516E-3</v>
      </c>
      <c r="AC172" s="81">
        <f t="shared" ref="AC172:AC184" si="56">X172*(1+AB172)^8</f>
        <v>825938.66220488958</v>
      </c>
      <c r="AD172" s="81"/>
    </row>
    <row r="173" spans="2:30">
      <c r="B173" s="8">
        <f>[1]world_population_Raw_Data!B166</f>
        <v>165</v>
      </c>
      <c r="C173" s="9" t="str">
        <f>[1]world_population_Raw_Data!D166</f>
        <v>Bhutan</v>
      </c>
      <c r="D173" s="10" t="str">
        <f>[1]world_population_Raw_Data!F166</f>
        <v>Asia</v>
      </c>
      <c r="E173" s="11">
        <f>[1]world_population_Raw_Data!N166</f>
        <v>298894</v>
      </c>
      <c r="F173" s="11">
        <f>[1]world_population_Raw_Data!M166</f>
        <v>415257</v>
      </c>
      <c r="G173" s="18">
        <f t="shared" si="41"/>
        <v>0.38931192998186648</v>
      </c>
      <c r="H173" s="39">
        <f t="shared" si="42"/>
        <v>1.0334274104171839</v>
      </c>
      <c r="I173" s="11">
        <f>[1]world_population_Raw_Data!L166</f>
        <v>558442</v>
      </c>
      <c r="J173" s="18">
        <f t="shared" si="43"/>
        <v>0.34481056309707003</v>
      </c>
      <c r="K173" s="39">
        <f t="shared" si="44"/>
        <v>1.0300685112285244</v>
      </c>
      <c r="L173" s="11">
        <f>[1]world_population_Raw_Data!K166</f>
        <v>587207</v>
      </c>
      <c r="M173" s="18">
        <f t="shared" si="45"/>
        <v>5.1509377876305863E-2</v>
      </c>
      <c r="N173" s="39">
        <f t="shared" si="46"/>
        <v>5.0352981876982117E-3</v>
      </c>
      <c r="O173" s="11">
        <f>[1]world_population_Raw_Data!J166</f>
        <v>705516</v>
      </c>
      <c r="P173" s="18">
        <f t="shared" si="47"/>
        <v>0.20147750282268434</v>
      </c>
      <c r="Q173" s="39">
        <f t="shared" si="48"/>
        <v>1.8524697389494582E-2</v>
      </c>
      <c r="R173" s="11">
        <f>[1]world_population_Raw_Data!I166</f>
        <v>743274</v>
      </c>
      <c r="S173" s="18">
        <f t="shared" si="49"/>
        <v>5.3518275985236341E-2</v>
      </c>
      <c r="T173" s="39">
        <f t="shared" si="50"/>
        <v>1.0481611629518772E-2</v>
      </c>
      <c r="U173" s="11">
        <f>[1]world_population_Raw_Data!H166</f>
        <v>772506</v>
      </c>
      <c r="V173" s="18">
        <f t="shared" si="51"/>
        <v>3.9328699779623666E-2</v>
      </c>
      <c r="W173" s="39">
        <f t="shared" si="52"/>
        <v>7.744842083444281E-3</v>
      </c>
      <c r="X173" s="11">
        <f>[1]world_population_Raw_Data!G166</f>
        <v>782455</v>
      </c>
      <c r="Y173" s="18">
        <f t="shared" si="39"/>
        <v>1.2878864371279964E-2</v>
      </c>
      <c r="Z173" s="39">
        <f t="shared" si="53"/>
        <v>6.4188314868118823E-3</v>
      </c>
      <c r="AA173" s="19">
        <f t="shared" si="40"/>
        <v>9.8133060374844125E-5</v>
      </c>
      <c r="AB173" s="45">
        <f t="shared" si="54"/>
        <v>1.8678991044775328E-2</v>
      </c>
      <c r="AC173" s="81">
        <f t="shared" si="56"/>
        <v>907315.15694639378</v>
      </c>
      <c r="AD173" s="81"/>
    </row>
    <row r="174" spans="2:30">
      <c r="B174" s="8">
        <f>[1]world_population_Raw_Data!B167</f>
        <v>166</v>
      </c>
      <c r="C174" s="9" t="str">
        <f>[1]world_population_Raw_Data!D167</f>
        <v>Solomon Islands</v>
      </c>
      <c r="D174" s="10" t="str">
        <f>[1]world_population_Raw_Data!F167</f>
        <v>Oceania</v>
      </c>
      <c r="E174" s="11">
        <f>[1]world_population_Raw_Data!N167</f>
        <v>172833</v>
      </c>
      <c r="F174" s="11">
        <f>[1]world_population_Raw_Data!M167</f>
        <v>233668</v>
      </c>
      <c r="G174" s="18">
        <f t="shared" si="41"/>
        <v>0.35198717837450022</v>
      </c>
      <c r="H174" s="39">
        <f t="shared" si="42"/>
        <v>1.0306168942494971</v>
      </c>
      <c r="I174" s="11">
        <f>[1]world_population_Raw_Data!L167</f>
        <v>324171</v>
      </c>
      <c r="J174" s="18">
        <f t="shared" si="43"/>
        <v>0.38731448037386379</v>
      </c>
      <c r="K174" s="39">
        <f t="shared" si="44"/>
        <v>1.0332787356775441</v>
      </c>
      <c r="L174" s="11">
        <f>[1]world_population_Raw_Data!K167</f>
        <v>429978</v>
      </c>
      <c r="M174" s="18">
        <f t="shared" si="45"/>
        <v>0.32639255207899537</v>
      </c>
      <c r="N174" s="39">
        <f t="shared" si="46"/>
        <v>2.8648998184121588E-2</v>
      </c>
      <c r="O174" s="11">
        <f>[1]world_population_Raw_Data!J167</f>
        <v>540394</v>
      </c>
      <c r="P174" s="18">
        <f t="shared" si="47"/>
        <v>0.25679453367381588</v>
      </c>
      <c r="Q174" s="39">
        <f t="shared" si="48"/>
        <v>2.3119655937113182E-2</v>
      </c>
      <c r="R174" s="11">
        <f>[1]world_population_Raw_Data!I167</f>
        <v>612660</v>
      </c>
      <c r="S174" s="18">
        <f t="shared" si="49"/>
        <v>0.13372835375670344</v>
      </c>
      <c r="T174" s="39">
        <f t="shared" si="50"/>
        <v>2.5420042217301875E-2</v>
      </c>
      <c r="U174" s="11">
        <f>[1]world_population_Raw_Data!H167</f>
        <v>691191</v>
      </c>
      <c r="V174" s="18">
        <f t="shared" si="51"/>
        <v>0.1281803936930761</v>
      </c>
      <c r="W174" s="39">
        <f t="shared" si="52"/>
        <v>2.4414482467239873E-2</v>
      </c>
      <c r="X174" s="11">
        <f>[1]world_population_Raw_Data!G167</f>
        <v>724273</v>
      </c>
      <c r="Y174" s="18">
        <f t="shared" si="39"/>
        <v>4.7862313022015622E-2</v>
      </c>
      <c r="Z174" s="39">
        <f t="shared" si="53"/>
        <v>2.3651460714053663E-2</v>
      </c>
      <c r="AA174" s="19">
        <f t="shared" si="40"/>
        <v>9.0836055794735134E-5</v>
      </c>
      <c r="AB174" s="45">
        <f t="shared" si="54"/>
        <v>2.7937805846434571E-2</v>
      </c>
      <c r="AC174" s="81">
        <f t="shared" si="56"/>
        <v>902894.49977462739</v>
      </c>
      <c r="AD174" s="81"/>
    </row>
    <row r="175" spans="2:30">
      <c r="B175" s="8">
        <f>[1]world_population_Raw_Data!B168</f>
        <v>167</v>
      </c>
      <c r="C175" s="9" t="str">
        <f>[1]world_population_Raw_Data!D168</f>
        <v>Macau</v>
      </c>
      <c r="D175" s="10" t="str">
        <f>[1]world_population_Raw_Data!F168</f>
        <v>Asia</v>
      </c>
      <c r="E175" s="11">
        <f>[1]world_population_Raw_Data!N168</f>
        <v>247284</v>
      </c>
      <c r="F175" s="11">
        <f>[1]world_population_Raw_Data!M168</f>
        <v>245332</v>
      </c>
      <c r="G175" s="18">
        <f t="shared" si="41"/>
        <v>-7.893757784571586E-3</v>
      </c>
      <c r="H175" s="39">
        <f t="shared" si="42"/>
        <v>0.99920780610895188</v>
      </c>
      <c r="I175" s="11">
        <f>[1]world_population_Raw_Data!L168</f>
        <v>350227</v>
      </c>
      <c r="J175" s="18">
        <f t="shared" si="43"/>
        <v>0.42756346501883163</v>
      </c>
      <c r="K175" s="39">
        <f t="shared" si="44"/>
        <v>1.0362380672088667</v>
      </c>
      <c r="L175" s="11">
        <f>[1]world_population_Raw_Data!K168</f>
        <v>431896</v>
      </c>
      <c r="M175" s="18">
        <f t="shared" si="45"/>
        <v>0.23318876043251949</v>
      </c>
      <c r="N175" s="39">
        <f t="shared" si="46"/>
        <v>2.1181540852317493E-2</v>
      </c>
      <c r="O175" s="11">
        <f>[1]world_population_Raw_Data!J168</f>
        <v>557297</v>
      </c>
      <c r="P175" s="18">
        <f t="shared" si="47"/>
        <v>0.29034999166466002</v>
      </c>
      <c r="Q175" s="39">
        <f t="shared" si="48"/>
        <v>2.5819032173538981E-2</v>
      </c>
      <c r="R175" s="11">
        <f>[1]world_population_Raw_Data!I168</f>
        <v>615239</v>
      </c>
      <c r="S175" s="18">
        <f t="shared" si="49"/>
        <v>0.10396969658907189</v>
      </c>
      <c r="T175" s="39">
        <f t="shared" si="50"/>
        <v>1.9979470106730624E-2</v>
      </c>
      <c r="U175" s="11">
        <f>[1]world_population_Raw_Data!H168</f>
        <v>676283</v>
      </c>
      <c r="V175" s="18">
        <f t="shared" si="51"/>
        <v>9.9219977927277048E-2</v>
      </c>
      <c r="W175" s="39">
        <f t="shared" si="52"/>
        <v>1.9100283927100392E-2</v>
      </c>
      <c r="X175" s="11">
        <f>[1]world_population_Raw_Data!G168</f>
        <v>695168</v>
      </c>
      <c r="Y175" s="18">
        <f t="shared" si="39"/>
        <v>2.7924700162505933E-2</v>
      </c>
      <c r="Z175" s="39">
        <f t="shared" si="53"/>
        <v>1.3866214134047317E-2</v>
      </c>
      <c r="AA175" s="19">
        <f t="shared" si="40"/>
        <v>8.7185797668440536E-5</v>
      </c>
      <c r="AB175" s="45">
        <f t="shared" si="54"/>
        <v>2.0076099740221398E-2</v>
      </c>
      <c r="AC175" s="81">
        <f t="shared" si="56"/>
        <v>814986.37864756293</v>
      </c>
      <c r="AD175" s="81"/>
    </row>
    <row r="176" spans="2:30">
      <c r="B176" s="8">
        <f>[1]world_population_Raw_Data!B169</f>
        <v>168</v>
      </c>
      <c r="C176" s="9" t="str">
        <f>[1]world_population_Raw_Data!D169</f>
        <v>Luxembourg</v>
      </c>
      <c r="D176" s="10" t="str">
        <f>[1]world_population_Raw_Data!F169</f>
        <v>Europe</v>
      </c>
      <c r="E176" s="11">
        <f>[1]world_population_Raw_Data!N169</f>
        <v>339342</v>
      </c>
      <c r="F176" s="11">
        <f>[1]world_population_Raw_Data!M169</f>
        <v>363741</v>
      </c>
      <c r="G176" s="18">
        <f t="shared" si="41"/>
        <v>7.1900914122036169E-2</v>
      </c>
      <c r="H176" s="39">
        <f t="shared" si="42"/>
        <v>1.0069675237824123</v>
      </c>
      <c r="I176" s="11">
        <f>[1]world_population_Raw_Data!L169</f>
        <v>381267</v>
      </c>
      <c r="J176" s="18">
        <f t="shared" si="43"/>
        <v>4.8182635446650225E-2</v>
      </c>
      <c r="K176" s="39">
        <f t="shared" si="44"/>
        <v>1.0047168737083194</v>
      </c>
      <c r="L176" s="11">
        <f>[1]world_population_Raw_Data!K169</f>
        <v>435628</v>
      </c>
      <c r="M176" s="18">
        <f t="shared" si="45"/>
        <v>0.14257987184833726</v>
      </c>
      <c r="N176" s="39">
        <f t="shared" si="46"/>
        <v>1.3418100545664169E-2</v>
      </c>
      <c r="O176" s="11">
        <f>[1]world_population_Raw_Data!J169</f>
        <v>507070</v>
      </c>
      <c r="P176" s="18">
        <f t="shared" si="47"/>
        <v>0.16399772282773376</v>
      </c>
      <c r="Q176" s="39">
        <f t="shared" si="48"/>
        <v>1.5301933104954202E-2</v>
      </c>
      <c r="R176" s="11">
        <f>[1]world_population_Raw_Data!I169</f>
        <v>569408</v>
      </c>
      <c r="S176" s="18">
        <f t="shared" si="49"/>
        <v>0.12293766146685862</v>
      </c>
      <c r="T176" s="39">
        <f t="shared" si="50"/>
        <v>2.3460602743786474E-2</v>
      </c>
      <c r="U176" s="11">
        <f>[1]world_population_Raw_Data!H169</f>
        <v>630399</v>
      </c>
      <c r="V176" s="18">
        <f t="shared" si="51"/>
        <v>0.10711300157356413</v>
      </c>
      <c r="W176" s="39">
        <f t="shared" si="52"/>
        <v>2.0559642066443784E-2</v>
      </c>
      <c r="X176" s="11">
        <f>[1]world_population_Raw_Data!G169</f>
        <v>647599</v>
      </c>
      <c r="Y176" s="18">
        <f t="shared" si="39"/>
        <v>2.7284307240335089E-2</v>
      </c>
      <c r="Z176" s="39">
        <f t="shared" si="53"/>
        <v>1.3550347659323281E-2</v>
      </c>
      <c r="AA176" s="19">
        <f t="shared" si="40"/>
        <v>8.1219842375201992E-5</v>
      </c>
      <c r="AB176" s="45">
        <f t="shared" si="54"/>
        <v>1.2505689279244336E-2</v>
      </c>
      <c r="AC176" s="81">
        <f t="shared" si="56"/>
        <v>715296.24805882527</v>
      </c>
      <c r="AD176" s="81"/>
    </row>
    <row r="177" spans="2:30">
      <c r="B177" s="8">
        <f>[1]world_population_Raw_Data!B170</f>
        <v>169</v>
      </c>
      <c r="C177" s="9" t="str">
        <f>[1]world_population_Raw_Data!D170</f>
        <v>Montenegro</v>
      </c>
      <c r="D177" s="10" t="str">
        <f>[1]world_population_Raw_Data!F170</f>
        <v>Europe</v>
      </c>
      <c r="E177" s="11">
        <f>[1]world_population_Raw_Data!N170</f>
        <v>530268</v>
      </c>
      <c r="F177" s="11">
        <f>[1]world_population_Raw_Data!M170</f>
        <v>589324</v>
      </c>
      <c r="G177" s="18">
        <f t="shared" si="41"/>
        <v>0.1113700996477253</v>
      </c>
      <c r="H177" s="39">
        <f t="shared" si="42"/>
        <v>1.0106153045839625</v>
      </c>
      <c r="I177" s="11">
        <f>[1]world_population_Raw_Data!L170</f>
        <v>621442</v>
      </c>
      <c r="J177" s="18">
        <f t="shared" si="43"/>
        <v>5.4499731896206501E-2</v>
      </c>
      <c r="K177" s="39">
        <f t="shared" si="44"/>
        <v>1.0053207518577492</v>
      </c>
      <c r="L177" s="11">
        <f>[1]world_population_Raw_Data!K170</f>
        <v>633324</v>
      </c>
      <c r="M177" s="18">
        <f t="shared" si="45"/>
        <v>1.9120046601291834E-2</v>
      </c>
      <c r="N177" s="39">
        <f t="shared" si="46"/>
        <v>1.8957502212875177E-3</v>
      </c>
      <c r="O177" s="11">
        <f>[1]world_population_Raw_Data!J170</f>
        <v>631044</v>
      </c>
      <c r="P177" s="18">
        <f t="shared" si="47"/>
        <v>-3.6000530534134188E-3</v>
      </c>
      <c r="Q177" s="39">
        <f t="shared" si="48"/>
        <v>-3.6058985576603586E-4</v>
      </c>
      <c r="R177" s="11">
        <f>[1]world_population_Raw_Data!I170</f>
        <v>633966</v>
      </c>
      <c r="S177" s="18">
        <f t="shared" si="49"/>
        <v>4.6304219674063929E-3</v>
      </c>
      <c r="T177" s="39">
        <f t="shared" si="50"/>
        <v>9.2437387892085887E-4</v>
      </c>
      <c r="U177" s="11">
        <f>[1]world_population_Raw_Data!H170</f>
        <v>629048</v>
      </c>
      <c r="V177" s="18">
        <f t="shared" si="51"/>
        <v>-7.757513809888858E-3</v>
      </c>
      <c r="W177" s="39">
        <f t="shared" si="52"/>
        <v>-1.5563396143233321E-3</v>
      </c>
      <c r="X177" s="11">
        <f>[1]world_population_Raw_Data!G170</f>
        <v>627082</v>
      </c>
      <c r="Y177" s="18">
        <f t="shared" si="39"/>
        <v>-3.125357683356437E-3</v>
      </c>
      <c r="Z177" s="39">
        <f t="shared" si="53"/>
        <v>-1.5639017359981855E-3</v>
      </c>
      <c r="AA177" s="19">
        <f t="shared" si="40"/>
        <v>7.8646664365334751E-5</v>
      </c>
      <c r="AB177" s="45">
        <f t="shared" si="54"/>
        <v>3.2301050916010432E-3</v>
      </c>
      <c r="AC177" s="81">
        <f t="shared" si="56"/>
        <v>643470.71022976842</v>
      </c>
      <c r="AD177" s="81"/>
    </row>
    <row r="178" spans="2:30">
      <c r="B178" s="8">
        <f>[1]world_population_Raw_Data!B171</f>
        <v>170</v>
      </c>
      <c r="C178" s="9" t="str">
        <f>[1]world_population_Raw_Data!D171</f>
        <v>Suriname</v>
      </c>
      <c r="D178" s="10" t="str">
        <f>[1]world_population_Raw_Data!F171</f>
        <v>South America</v>
      </c>
      <c r="E178" s="11">
        <f>[1]world_population_Raw_Data!N171</f>
        <v>379918</v>
      </c>
      <c r="F178" s="11">
        <f>[1]world_population_Raw_Data!M171</f>
        <v>375112</v>
      </c>
      <c r="G178" s="18">
        <f t="shared" si="41"/>
        <v>-1.2650098179080749E-2</v>
      </c>
      <c r="H178" s="39">
        <f t="shared" si="42"/>
        <v>0.9987277308299588</v>
      </c>
      <c r="I178" s="11">
        <f>[1]world_population_Raw_Data!L171</f>
        <v>412756</v>
      </c>
      <c r="J178" s="18">
        <f t="shared" si="43"/>
        <v>0.100354027597091</v>
      </c>
      <c r="K178" s="39">
        <f t="shared" si="44"/>
        <v>1.0096090706148482</v>
      </c>
      <c r="L178" s="11">
        <f>[1]world_population_Raw_Data!K171</f>
        <v>478998</v>
      </c>
      <c r="M178" s="18">
        <f t="shared" si="45"/>
        <v>0.16048706741997693</v>
      </c>
      <c r="N178" s="39">
        <f t="shared" si="46"/>
        <v>1.4995298303560833E-2</v>
      </c>
      <c r="O178" s="11">
        <f>[1]world_population_Raw_Data!J171</f>
        <v>546080</v>
      </c>
      <c r="P178" s="18">
        <f t="shared" si="47"/>
        <v>0.14004651376414934</v>
      </c>
      <c r="Q178" s="39">
        <f t="shared" si="48"/>
        <v>1.3193178316337262E-2</v>
      </c>
      <c r="R178" s="11">
        <f>[1]world_population_Raw_Data!I171</f>
        <v>575475</v>
      </c>
      <c r="S178" s="18">
        <f t="shared" si="49"/>
        <v>5.3829109288016409E-2</v>
      </c>
      <c r="T178" s="39">
        <f t="shared" si="50"/>
        <v>1.0541231720079702E-2</v>
      </c>
      <c r="U178" s="11">
        <f>[1]world_population_Raw_Data!H171</f>
        <v>607065</v>
      </c>
      <c r="V178" s="18">
        <f t="shared" si="51"/>
        <v>5.4893783396324773E-2</v>
      </c>
      <c r="W178" s="39">
        <f t="shared" si="52"/>
        <v>1.074533740495931E-2</v>
      </c>
      <c r="X178" s="11">
        <f>[1]world_population_Raw_Data!G171</f>
        <v>618040</v>
      </c>
      <c r="Y178" s="18">
        <f t="shared" si="39"/>
        <v>1.8078788927050646E-2</v>
      </c>
      <c r="Z178" s="39">
        <f t="shared" si="53"/>
        <v>8.9989043240090716E-3</v>
      </c>
      <c r="AA178" s="19">
        <f t="shared" si="40"/>
        <v>7.7512644987978431E-5</v>
      </c>
      <c r="AB178" s="45">
        <f t="shared" si="54"/>
        <v>9.4015685364539081E-3</v>
      </c>
      <c r="AC178" s="81">
        <f t="shared" si="56"/>
        <v>666083.05575173511</v>
      </c>
      <c r="AD178" s="81"/>
    </row>
    <row r="179" spans="2:30">
      <c r="B179" s="8">
        <f>[1]world_population_Raw_Data!B172</f>
        <v>171</v>
      </c>
      <c r="C179" s="9" t="str">
        <f>[1]world_population_Raw_Data!D172</f>
        <v>Cape Verde</v>
      </c>
      <c r="D179" s="10" t="str">
        <f>[1]world_population_Raw_Data!F172</f>
        <v>Africa</v>
      </c>
      <c r="E179" s="11">
        <f>[1]world_population_Raw_Data!N172</f>
        <v>287262</v>
      </c>
      <c r="F179" s="11">
        <f>[1]world_population_Raw_Data!M172</f>
        <v>317234</v>
      </c>
      <c r="G179" s="18">
        <f t="shared" si="41"/>
        <v>0.1043368075136983</v>
      </c>
      <c r="H179" s="39">
        <f t="shared" si="42"/>
        <v>1.0099739092156319</v>
      </c>
      <c r="I179" s="11">
        <f>[1]world_population_Raw_Data!L172</f>
        <v>364563</v>
      </c>
      <c r="J179" s="18">
        <f t="shared" si="43"/>
        <v>0.14919270948259014</v>
      </c>
      <c r="K179" s="39">
        <f t="shared" si="44"/>
        <v>1.0140031081600898</v>
      </c>
      <c r="L179" s="11">
        <f>[1]world_population_Raw_Data!K172</f>
        <v>458251</v>
      </c>
      <c r="M179" s="18">
        <f t="shared" si="45"/>
        <v>0.25698713253950622</v>
      </c>
      <c r="N179" s="39">
        <f t="shared" si="46"/>
        <v>2.3135333766098443E-2</v>
      </c>
      <c r="O179" s="11">
        <f>[1]world_population_Raw_Data!J172</f>
        <v>521212</v>
      </c>
      <c r="P179" s="18">
        <f t="shared" si="47"/>
        <v>0.13739413552834581</v>
      </c>
      <c r="Q179" s="39">
        <f t="shared" si="48"/>
        <v>1.2957206433157564E-2</v>
      </c>
      <c r="R179" s="11">
        <f>[1]world_population_Raw_Data!I172</f>
        <v>552166</v>
      </c>
      <c r="S179" s="18">
        <f t="shared" si="49"/>
        <v>5.9388502183372598E-2</v>
      </c>
      <c r="T179" s="39">
        <f t="shared" si="50"/>
        <v>1.1605195158161941E-2</v>
      </c>
      <c r="U179" s="11">
        <f>[1]world_population_Raw_Data!H172</f>
        <v>582640</v>
      </c>
      <c r="V179" s="18">
        <f t="shared" si="51"/>
        <v>5.5189924769000628E-2</v>
      </c>
      <c r="W179" s="39">
        <f t="shared" si="52"/>
        <v>1.0802080540668779E-2</v>
      </c>
      <c r="X179" s="11">
        <f>[1]world_population_Raw_Data!G172</f>
        <v>593149</v>
      </c>
      <c r="Y179" s="18">
        <f t="shared" si="39"/>
        <v>1.8036866675820405E-2</v>
      </c>
      <c r="Z179" s="39">
        <f t="shared" si="53"/>
        <v>8.9781299293956174E-3</v>
      </c>
      <c r="AA179" s="19">
        <f t="shared" si="40"/>
        <v>7.4390893569954071E-5</v>
      </c>
      <c r="AB179" s="45">
        <f t="shared" si="54"/>
        <v>1.4040948332554759E-2</v>
      </c>
      <c r="AC179" s="81">
        <f t="shared" si="56"/>
        <v>663143.8472219134</v>
      </c>
      <c r="AD179" s="81"/>
    </row>
    <row r="180" spans="2:30">
      <c r="B180" s="8">
        <f>[1]world_population_Raw_Data!B173</f>
        <v>172</v>
      </c>
      <c r="C180" s="9" t="str">
        <f>[1]world_population_Raw_Data!D173</f>
        <v>Western Sahara</v>
      </c>
      <c r="D180" s="10" t="str">
        <f>[1]world_population_Raw_Data!F173</f>
        <v>Africa</v>
      </c>
      <c r="E180" s="11">
        <f>[1]world_population_Raw_Data!N173</f>
        <v>76371</v>
      </c>
      <c r="F180" s="11">
        <f>[1]world_population_Raw_Data!M173</f>
        <v>116775</v>
      </c>
      <c r="G180" s="18">
        <f t="shared" si="41"/>
        <v>0.52904898456220295</v>
      </c>
      <c r="H180" s="39">
        <f t="shared" si="42"/>
        <v>1.0433791162830757</v>
      </c>
      <c r="I180" s="11">
        <f>[1]world_population_Raw_Data!L173</f>
        <v>178529</v>
      </c>
      <c r="J180" s="18">
        <f t="shared" si="43"/>
        <v>0.52882894455148788</v>
      </c>
      <c r="K180" s="39">
        <f t="shared" si="44"/>
        <v>1.0433641004122269</v>
      </c>
      <c r="L180" s="11">
        <f>[1]world_population_Raw_Data!K173</f>
        <v>270375</v>
      </c>
      <c r="M180" s="18">
        <f t="shared" si="45"/>
        <v>0.51445983565695208</v>
      </c>
      <c r="N180" s="39">
        <f t="shared" si="46"/>
        <v>4.2379294282531621E-2</v>
      </c>
      <c r="O180" s="11">
        <f>[1]world_population_Raw_Data!J173</f>
        <v>413296</v>
      </c>
      <c r="P180" s="18">
        <f t="shared" si="47"/>
        <v>0.52860286638927412</v>
      </c>
      <c r="Q180" s="39">
        <f t="shared" si="48"/>
        <v>4.334867046257207E-2</v>
      </c>
      <c r="R180" s="11">
        <f>[1]world_population_Raw_Data!I173</f>
        <v>491824</v>
      </c>
      <c r="S180" s="18">
        <f t="shared" si="49"/>
        <v>0.19000425844915025</v>
      </c>
      <c r="T180" s="39">
        <f t="shared" si="50"/>
        <v>3.5403677378192278E-2</v>
      </c>
      <c r="U180" s="11">
        <f>[1]world_population_Raw_Data!H173</f>
        <v>556048</v>
      </c>
      <c r="V180" s="18">
        <f t="shared" si="51"/>
        <v>0.13058329809037381</v>
      </c>
      <c r="W180" s="39">
        <f t="shared" si="52"/>
        <v>2.4850489971228074E-2</v>
      </c>
      <c r="X180" s="11">
        <f>[1]world_population_Raw_Data!G173</f>
        <v>575986</v>
      </c>
      <c r="Y180" s="18">
        <f t="shared" si="39"/>
        <v>3.5856616694961589E-2</v>
      </c>
      <c r="Z180" s="39">
        <f t="shared" si="53"/>
        <v>1.7770414531175893E-2</v>
      </c>
      <c r="AA180" s="19">
        <f t="shared" si="40"/>
        <v>7.2238363756465184E-5</v>
      </c>
      <c r="AB180" s="45">
        <f t="shared" si="54"/>
        <v>3.9620133949296976E-2</v>
      </c>
      <c r="AC180" s="81">
        <f t="shared" si="56"/>
        <v>785976.17459533061</v>
      </c>
      <c r="AD180" s="81"/>
    </row>
    <row r="181" spans="2:30">
      <c r="B181" s="8">
        <f>[1]world_population_Raw_Data!B174</f>
        <v>173</v>
      </c>
      <c r="C181" s="9" t="str">
        <f>[1]world_population_Raw_Data!D174</f>
        <v>Malta</v>
      </c>
      <c r="D181" s="10" t="str">
        <f>[1]world_population_Raw_Data!F174</f>
        <v>Europe</v>
      </c>
      <c r="E181" s="11">
        <f>[1]world_population_Raw_Data!N174</f>
        <v>315414</v>
      </c>
      <c r="F181" s="11">
        <f>[1]world_population_Raw_Data!M174</f>
        <v>333587</v>
      </c>
      <c r="G181" s="18">
        <f t="shared" si="41"/>
        <v>5.7616339160595283E-2</v>
      </c>
      <c r="H181" s="39">
        <f t="shared" si="42"/>
        <v>1.0056174831454165</v>
      </c>
      <c r="I181" s="11">
        <f>[1]world_population_Raw_Data!L174</f>
        <v>365392</v>
      </c>
      <c r="J181" s="18">
        <f t="shared" si="43"/>
        <v>9.5342444399811738E-2</v>
      </c>
      <c r="K181" s="39">
        <f t="shared" si="44"/>
        <v>1.009148297096029</v>
      </c>
      <c r="L181" s="11">
        <f>[1]world_population_Raw_Data!K174</f>
        <v>399212</v>
      </c>
      <c r="M181" s="18">
        <f t="shared" si="45"/>
        <v>9.2558129351491006E-2</v>
      </c>
      <c r="N181" s="39">
        <f t="shared" si="46"/>
        <v>8.8914818826206776E-3</v>
      </c>
      <c r="O181" s="11">
        <f>[1]world_population_Raw_Data!J174</f>
        <v>418755</v>
      </c>
      <c r="P181" s="18">
        <f t="shared" si="47"/>
        <v>4.8953939260342874E-2</v>
      </c>
      <c r="Q181" s="39">
        <f t="shared" si="48"/>
        <v>4.7907811975003156E-3</v>
      </c>
      <c r="R181" s="11">
        <f>[1]world_population_Raw_Data!I174</f>
        <v>456579</v>
      </c>
      <c r="S181" s="18">
        <f t="shared" si="49"/>
        <v>9.0324891643084854E-2</v>
      </c>
      <c r="T181" s="39">
        <f t="shared" si="50"/>
        <v>1.7445570473016758E-2</v>
      </c>
      <c r="U181" s="11">
        <f>[1]world_population_Raw_Data!H174</f>
        <v>515357</v>
      </c>
      <c r="V181" s="18">
        <f t="shared" si="51"/>
        <v>0.12873566239358358</v>
      </c>
      <c r="W181" s="39">
        <f t="shared" si="52"/>
        <v>2.4515302043390808E-2</v>
      </c>
      <c r="X181" s="11">
        <f>[1]world_population_Raw_Data!G174</f>
        <v>533286</v>
      </c>
      <c r="Y181" s="18">
        <f t="shared" si="39"/>
        <v>3.4789476033118792E-2</v>
      </c>
      <c r="Z181" s="39">
        <f t="shared" si="53"/>
        <v>1.724602532185826E-2</v>
      </c>
      <c r="AA181" s="19">
        <f t="shared" si="40"/>
        <v>6.6883063224158727E-5</v>
      </c>
      <c r="AB181" s="45">
        <f t="shared" si="54"/>
        <v>1.0150629416371126E-2</v>
      </c>
      <c r="AC181" s="81">
        <f t="shared" si="56"/>
        <v>578161.66556583403</v>
      </c>
      <c r="AD181" s="81"/>
    </row>
    <row r="182" spans="2:30">
      <c r="B182" s="8">
        <f>[1]world_population_Raw_Data!B175</f>
        <v>174</v>
      </c>
      <c r="C182" s="9" t="str">
        <f>[1]world_population_Raw_Data!D175</f>
        <v>Maldives</v>
      </c>
      <c r="D182" s="10" t="str">
        <f>[1]world_population_Raw_Data!F175</f>
        <v>Asia</v>
      </c>
      <c r="E182" s="11">
        <f>[1]world_population_Raw_Data!N175</f>
        <v>123243</v>
      </c>
      <c r="F182" s="11">
        <f>[1]world_population_Raw_Data!M175</f>
        <v>164887</v>
      </c>
      <c r="G182" s="18">
        <f t="shared" si="41"/>
        <v>0.33790154410392476</v>
      </c>
      <c r="H182" s="39">
        <f t="shared" si="42"/>
        <v>1.0295380818851023</v>
      </c>
      <c r="I182" s="11">
        <f>[1]world_population_Raw_Data!L175</f>
        <v>224957</v>
      </c>
      <c r="J182" s="18">
        <f t="shared" si="43"/>
        <v>0.36431010328285429</v>
      </c>
      <c r="K182" s="39">
        <f t="shared" si="44"/>
        <v>1.0315524372987963</v>
      </c>
      <c r="L182" s="11">
        <f>[1]world_population_Raw_Data!K175</f>
        <v>282507</v>
      </c>
      <c r="M182" s="18">
        <f t="shared" si="45"/>
        <v>0.25582666909676072</v>
      </c>
      <c r="N182" s="39">
        <f t="shared" si="46"/>
        <v>2.3040837595715402E-2</v>
      </c>
      <c r="O182" s="11">
        <f>[1]world_population_Raw_Data!J175</f>
        <v>361575</v>
      </c>
      <c r="P182" s="18">
        <f t="shared" si="47"/>
        <v>0.27987979058925971</v>
      </c>
      <c r="Q182" s="39">
        <f t="shared" si="48"/>
        <v>2.4983603617733552E-2</v>
      </c>
      <c r="R182" s="11">
        <f>[1]world_population_Raw_Data!I175</f>
        <v>435582</v>
      </c>
      <c r="S182" s="18">
        <f t="shared" si="49"/>
        <v>0.2046795270690728</v>
      </c>
      <c r="T182" s="39">
        <f t="shared" si="50"/>
        <v>3.7944915883794783E-2</v>
      </c>
      <c r="U182" s="11">
        <f>[1]world_population_Raw_Data!H175</f>
        <v>514438</v>
      </c>
      <c r="V182" s="18">
        <f t="shared" si="51"/>
        <v>0.18103594730728084</v>
      </c>
      <c r="W182" s="39">
        <f t="shared" si="52"/>
        <v>3.3838314553277016E-2</v>
      </c>
      <c r="X182" s="11">
        <f>[1]world_population_Raw_Data!G175</f>
        <v>523787</v>
      </c>
      <c r="Y182" s="18">
        <f t="shared" si="39"/>
        <v>1.8173229815837865E-2</v>
      </c>
      <c r="Z182" s="39">
        <f t="shared" si="53"/>
        <v>9.0457025406915914E-3</v>
      </c>
      <c r="AA182" s="19">
        <f t="shared" si="40"/>
        <v>6.5691728335250555E-5</v>
      </c>
      <c r="AB182" s="45">
        <f t="shared" si="54"/>
        <v>2.8216266721544425E-2</v>
      </c>
      <c r="AC182" s="81">
        <f t="shared" si="56"/>
        <v>654380.6932639404</v>
      </c>
      <c r="AD182" s="81"/>
    </row>
    <row r="183" spans="2:30">
      <c r="B183" s="8">
        <f>[1]world_population_Raw_Data!B176</f>
        <v>175</v>
      </c>
      <c r="C183" s="9" t="str">
        <f>[1]world_population_Raw_Data!D176</f>
        <v>Brunei</v>
      </c>
      <c r="D183" s="10" t="str">
        <f>[1]world_population_Raw_Data!F176</f>
        <v>Asia</v>
      </c>
      <c r="E183" s="11">
        <f>[1]world_population_Raw_Data!N176</f>
        <v>133343</v>
      </c>
      <c r="F183" s="11">
        <f>[1]world_population_Raw_Data!M176</f>
        <v>187921</v>
      </c>
      <c r="G183" s="18">
        <f t="shared" si="41"/>
        <v>0.40930532536391112</v>
      </c>
      <c r="H183" s="39">
        <f t="shared" si="42"/>
        <v>1.0349050574670398</v>
      </c>
      <c r="I183" s="11">
        <f>[1]world_population_Raw_Data!L176</f>
        <v>261928</v>
      </c>
      <c r="J183" s="18">
        <f t="shared" si="43"/>
        <v>0.39381974340281289</v>
      </c>
      <c r="K183" s="39">
        <f t="shared" si="44"/>
        <v>1.0337622315601469</v>
      </c>
      <c r="L183" s="11">
        <f>[1]world_population_Raw_Data!K176</f>
        <v>333926</v>
      </c>
      <c r="M183" s="18">
        <f t="shared" si="45"/>
        <v>0.27487706545310164</v>
      </c>
      <c r="N183" s="39">
        <f t="shared" si="46"/>
        <v>2.458225710211126E-2</v>
      </c>
      <c r="O183" s="11">
        <f>[1]world_population_Raw_Data!J176</f>
        <v>396053</v>
      </c>
      <c r="P183" s="18">
        <f t="shared" si="47"/>
        <v>0.18605020273952913</v>
      </c>
      <c r="Q183" s="39">
        <f t="shared" si="48"/>
        <v>1.7209265053919287E-2</v>
      </c>
      <c r="R183" s="11">
        <f>[1]world_population_Raw_Data!I176</f>
        <v>421437</v>
      </c>
      <c r="S183" s="18">
        <f t="shared" si="49"/>
        <v>6.4092432073485112E-2</v>
      </c>
      <c r="T183" s="39">
        <f t="shared" si="50"/>
        <v>1.2501956030998462E-2</v>
      </c>
      <c r="U183" s="11">
        <f>[1]world_population_Raw_Data!H176</f>
        <v>441725</v>
      </c>
      <c r="V183" s="18">
        <f t="shared" si="51"/>
        <v>4.8140054148069579E-2</v>
      </c>
      <c r="W183" s="39">
        <f t="shared" si="52"/>
        <v>9.4477945668867136E-3</v>
      </c>
      <c r="X183" s="11">
        <f>[1]world_population_Raw_Data!G176</f>
        <v>449002</v>
      </c>
      <c r="Y183" s="18">
        <f t="shared" si="39"/>
        <v>1.647405059709095E-2</v>
      </c>
      <c r="Z183" s="39">
        <f t="shared" si="53"/>
        <v>8.2033775965497657E-3</v>
      </c>
      <c r="AA183" s="19">
        <f t="shared" si="40"/>
        <v>5.6312427391256696E-5</v>
      </c>
      <c r="AB183" s="45">
        <f t="shared" si="54"/>
        <v>2.3622827921949252E-2</v>
      </c>
      <c r="AC183" s="81">
        <f t="shared" si="56"/>
        <v>541212.69618677069</v>
      </c>
      <c r="AD183" s="81"/>
    </row>
    <row r="184" spans="2:30">
      <c r="B184" s="8">
        <f>[1]world_population_Raw_Data!B177</f>
        <v>176</v>
      </c>
      <c r="C184" s="9" t="str">
        <f>[1]world_population_Raw_Data!D177</f>
        <v>Bahamas</v>
      </c>
      <c r="D184" s="10" t="str">
        <f>[1]world_population_Raw_Data!F177</f>
        <v>North America</v>
      </c>
      <c r="E184" s="11">
        <f>[1]world_population_Raw_Data!N177</f>
        <v>179129</v>
      </c>
      <c r="F184" s="11">
        <f>[1]world_population_Raw_Data!M177</f>
        <v>223752</v>
      </c>
      <c r="G184" s="18">
        <f t="shared" si="41"/>
        <v>0.24911097588888453</v>
      </c>
      <c r="H184" s="39">
        <f t="shared" si="42"/>
        <v>1.0224924324687652</v>
      </c>
      <c r="I184" s="11">
        <f>[1]world_population_Raw_Data!L177</f>
        <v>270679</v>
      </c>
      <c r="J184" s="18">
        <f t="shared" si="43"/>
        <v>0.20972773427723551</v>
      </c>
      <c r="K184" s="39">
        <f t="shared" si="44"/>
        <v>1.0192219398347602</v>
      </c>
      <c r="L184" s="11">
        <f>[1]world_population_Raw_Data!K177</f>
        <v>325014</v>
      </c>
      <c r="M184" s="18">
        <f t="shared" si="45"/>
        <v>0.20073592705751092</v>
      </c>
      <c r="N184" s="39">
        <f t="shared" si="46"/>
        <v>1.8461814555689626E-2</v>
      </c>
      <c r="O184" s="11">
        <f>[1]world_population_Raw_Data!J177</f>
        <v>373272</v>
      </c>
      <c r="P184" s="18">
        <f t="shared" si="47"/>
        <v>0.14847975779504882</v>
      </c>
      <c r="Q184" s="39">
        <f t="shared" si="48"/>
        <v>1.3940182496931186E-2</v>
      </c>
      <c r="R184" s="11">
        <f>[1]world_population_Raw_Data!I177</f>
        <v>392697</v>
      </c>
      <c r="S184" s="18">
        <f t="shared" si="49"/>
        <v>5.2039799395614997E-2</v>
      </c>
      <c r="T184" s="39">
        <f t="shared" si="50"/>
        <v>1.0197836248054815E-2</v>
      </c>
      <c r="U184" s="11">
        <f>[1]world_population_Raw_Data!H177</f>
        <v>406471</v>
      </c>
      <c r="V184" s="18">
        <f t="shared" si="51"/>
        <v>3.5075388913080568E-2</v>
      </c>
      <c r="W184" s="39">
        <f t="shared" si="52"/>
        <v>6.9186769392042269E-3</v>
      </c>
      <c r="X184" s="11">
        <f>[1]world_population_Raw_Data!G177</f>
        <v>409984</v>
      </c>
      <c r="Y184" s="18">
        <f t="shared" si="39"/>
        <v>8.6426829958348821E-3</v>
      </c>
      <c r="Z184" s="39">
        <f t="shared" si="53"/>
        <v>4.3120446334570239E-3</v>
      </c>
      <c r="AA184" s="19">
        <f t="shared" si="40"/>
        <v>5.1418911790096673E-5</v>
      </c>
      <c r="AB184" s="45">
        <f t="shared" si="54"/>
        <v>1.6050757535794657E-2</v>
      </c>
      <c r="AC184" s="81">
        <f t="shared" si="56"/>
        <v>465682.7384330986</v>
      </c>
      <c r="AD184" s="81"/>
    </row>
    <row r="185" spans="2:30">
      <c r="B185" s="8">
        <f>[1]world_population_Raw_Data!B178</f>
        <v>177</v>
      </c>
      <c r="C185" s="9" t="str">
        <f>[1]world_population_Raw_Data!D178</f>
        <v>Belize</v>
      </c>
      <c r="D185" s="10" t="str">
        <f>[1]world_population_Raw_Data!F178</f>
        <v>North America</v>
      </c>
      <c r="E185" s="11">
        <f>[1]world_population_Raw_Data!N178</f>
        <v>120905</v>
      </c>
      <c r="F185" s="11">
        <f>[1]world_population_Raw_Data!M178</f>
        <v>145133</v>
      </c>
      <c r="G185" s="18">
        <f t="shared" si="41"/>
        <v>0.20038873495719781</v>
      </c>
      <c r="H185" s="39">
        <f t="shared" si="42"/>
        <v>1.0184323619586078</v>
      </c>
      <c r="I185" s="11">
        <f>[1]world_population_Raw_Data!L178</f>
        <v>182589</v>
      </c>
      <c r="J185" s="18">
        <f t="shared" si="43"/>
        <v>0.25808051924786229</v>
      </c>
      <c r="K185" s="39">
        <f t="shared" si="44"/>
        <v>1.0232242960871618</v>
      </c>
      <c r="L185" s="11">
        <f>[1]world_population_Raw_Data!K178</f>
        <v>240406</v>
      </c>
      <c r="M185" s="18">
        <f t="shared" si="45"/>
        <v>0.31665105784028613</v>
      </c>
      <c r="N185" s="39">
        <f t="shared" si="46"/>
        <v>2.789101362377977E-2</v>
      </c>
      <c r="O185" s="11">
        <f>[1]world_population_Raw_Data!J178</f>
        <v>322106</v>
      </c>
      <c r="P185" s="18">
        <f t="shared" si="47"/>
        <v>0.33984176767634749</v>
      </c>
      <c r="Q185" s="39">
        <f t="shared" si="48"/>
        <v>2.9687288057266725E-2</v>
      </c>
      <c r="R185" s="11">
        <f>[1]world_population_Raw_Data!I178</f>
        <v>359871</v>
      </c>
      <c r="S185" s="18">
        <f t="shared" si="49"/>
        <v>0.1172440128404935</v>
      </c>
      <c r="T185" s="39">
        <f t="shared" si="50"/>
        <v>2.242063771532532E-2</v>
      </c>
      <c r="U185" s="11">
        <f>[1]world_population_Raw_Data!H178</f>
        <v>394921</v>
      </c>
      <c r="V185" s="18">
        <f t="shared" si="51"/>
        <v>9.7396011348510989E-2</v>
      </c>
      <c r="W185" s="39">
        <f t="shared" si="52"/>
        <v>1.8761854882463735E-2</v>
      </c>
      <c r="X185" s="11">
        <f>[1]world_population_Raw_Data!G178</f>
        <v>405272</v>
      </c>
      <c r="Y185" s="18">
        <f t="shared" si="39"/>
        <v>2.6210305352209681E-2</v>
      </c>
      <c r="Z185" s="39">
        <f t="shared" si="53"/>
        <v>1.3020387431669445E-2</v>
      </c>
      <c r="AA185" s="19">
        <f t="shared" si="40"/>
        <v>5.0827947478428566E-5</v>
      </c>
      <c r="AB185" s="45">
        <f t="shared" si="54"/>
        <v>2.3533279548309194E-2</v>
      </c>
      <c r="AC185" s="81">
        <f>X185*(1+AB185)^8</f>
        <v>488160.17274037749</v>
      </c>
      <c r="AD185" s="81"/>
    </row>
    <row r="186" spans="2:30">
      <c r="B186" s="8">
        <f>[1]world_population_Raw_Data!B179</f>
        <v>178</v>
      </c>
      <c r="C186" s="9" t="str">
        <f>[1]world_population_Raw_Data!D179</f>
        <v>Guadeloupe</v>
      </c>
      <c r="D186" s="10" t="str">
        <f>[1]world_population_Raw_Data!F179</f>
        <v>North America</v>
      </c>
      <c r="E186" s="11">
        <f>[1]world_population_Raw_Data!N179</f>
        <v>318310</v>
      </c>
      <c r="F186" s="11">
        <f>[1]world_population_Raw_Data!M179</f>
        <v>334234</v>
      </c>
      <c r="G186" s="18">
        <f t="shared" si="41"/>
        <v>5.0026703528007289E-2</v>
      </c>
      <c r="H186" s="39">
        <f t="shared" si="42"/>
        <v>1.0048934938010088</v>
      </c>
      <c r="I186" s="11">
        <f>[1]world_population_Raw_Data!L179</f>
        <v>391951</v>
      </c>
      <c r="J186" s="18">
        <f t="shared" si="43"/>
        <v>0.17268440673300742</v>
      </c>
      <c r="K186" s="39">
        <f t="shared" si="44"/>
        <v>1.0160571001887959</v>
      </c>
      <c r="L186" s="11">
        <f>[1]world_population_Raw_Data!K179</f>
        <v>424067</v>
      </c>
      <c r="M186" s="18">
        <f t="shared" si="45"/>
        <v>8.1938813780293968E-2</v>
      </c>
      <c r="N186" s="39">
        <f t="shared" si="46"/>
        <v>7.9065559927402607E-3</v>
      </c>
      <c r="O186" s="11">
        <f>[1]world_population_Raw_Data!J179</f>
        <v>403072</v>
      </c>
      <c r="P186" s="18">
        <f t="shared" si="47"/>
        <v>-4.9508686127427974E-2</v>
      </c>
      <c r="Q186" s="39">
        <f t="shared" si="48"/>
        <v>-5.0647562082449804E-3</v>
      </c>
      <c r="R186" s="11">
        <f>[1]world_population_Raw_Data!I179</f>
        <v>399089</v>
      </c>
      <c r="S186" s="18">
        <f t="shared" si="49"/>
        <v>-9.8816092410288978E-3</v>
      </c>
      <c r="T186" s="39">
        <f t="shared" si="50"/>
        <v>-1.9841801823718974E-3</v>
      </c>
      <c r="U186" s="11">
        <f>[1]world_population_Raw_Data!H179</f>
        <v>395642</v>
      </c>
      <c r="V186" s="18">
        <f t="shared" si="51"/>
        <v>-8.6371711573107746E-3</v>
      </c>
      <c r="W186" s="39">
        <f t="shared" si="52"/>
        <v>-1.7334334060224998E-3</v>
      </c>
      <c r="X186" s="11">
        <f>[1]world_population_Raw_Data!G179</f>
        <v>395752</v>
      </c>
      <c r="Y186" s="18">
        <f t="shared" si="39"/>
        <v>2.7802912734239542E-4</v>
      </c>
      <c r="Z186" s="39">
        <f t="shared" si="53"/>
        <v>1.3900490248963671E-4</v>
      </c>
      <c r="AA186" s="19">
        <f t="shared" si="40"/>
        <v>4.9633978835160248E-5</v>
      </c>
      <c r="AB186" s="45">
        <f t="shared" si="54"/>
        <v>4.1965116003928049E-3</v>
      </c>
      <c r="AC186" s="81">
        <f t="shared" ref="AC186:AC201" si="57">X186*(1+AB186)^8</f>
        <v>409235.0146096524</v>
      </c>
      <c r="AD186" s="81"/>
    </row>
    <row r="187" spans="2:30">
      <c r="B187" s="8">
        <f>[1]world_population_Raw_Data!B180</f>
        <v>179</v>
      </c>
      <c r="C187" s="9" t="str">
        <f>[1]world_population_Raw_Data!D180</f>
        <v>Iceland</v>
      </c>
      <c r="D187" s="10" t="str">
        <f>[1]world_population_Raw_Data!F180</f>
        <v>Europe</v>
      </c>
      <c r="E187" s="11">
        <f>[1]world_population_Raw_Data!N180</f>
        <v>204468</v>
      </c>
      <c r="F187" s="11">
        <f>[1]world_population_Raw_Data!M180</f>
        <v>228263</v>
      </c>
      <c r="G187" s="18">
        <f t="shared" si="41"/>
        <v>0.116375178512041</v>
      </c>
      <c r="H187" s="39">
        <f t="shared" si="42"/>
        <v>1.0110695175915287</v>
      </c>
      <c r="I187" s="11">
        <f>[1]world_population_Raw_Data!L180</f>
        <v>255019</v>
      </c>
      <c r="J187" s="18">
        <f t="shared" si="43"/>
        <v>0.11721566789186158</v>
      </c>
      <c r="K187" s="39">
        <f t="shared" si="44"/>
        <v>1.0111456125675971</v>
      </c>
      <c r="L187" s="11">
        <f>[1]world_population_Raw_Data!K180</f>
        <v>281462</v>
      </c>
      <c r="M187" s="18">
        <f t="shared" si="45"/>
        <v>0.10369031327077591</v>
      </c>
      <c r="N187" s="39">
        <f t="shared" si="46"/>
        <v>9.9147683461182634E-3</v>
      </c>
      <c r="O187" s="11">
        <f>[1]world_population_Raw_Data!J180</f>
        <v>318333</v>
      </c>
      <c r="P187" s="18">
        <f t="shared" si="47"/>
        <v>0.13099814539795782</v>
      </c>
      <c r="Q187" s="39">
        <f t="shared" si="48"/>
        <v>1.2386136335359899E-2</v>
      </c>
      <c r="R187" s="11">
        <f>[1]world_population_Raw_Data!I180</f>
        <v>331060</v>
      </c>
      <c r="S187" s="18">
        <f t="shared" si="49"/>
        <v>3.9980146576069714E-2</v>
      </c>
      <c r="T187" s="39">
        <f t="shared" si="50"/>
        <v>7.8711404559286269E-3</v>
      </c>
      <c r="U187" s="11">
        <f>[1]world_population_Raw_Data!H180</f>
        <v>366669</v>
      </c>
      <c r="V187" s="18">
        <f t="shared" si="51"/>
        <v>0.10756056303993233</v>
      </c>
      <c r="W187" s="39">
        <f t="shared" si="52"/>
        <v>2.0642143008399172E-2</v>
      </c>
      <c r="X187" s="11">
        <f>[1]world_population_Raw_Data!G180</f>
        <v>372899</v>
      </c>
      <c r="Y187" s="18">
        <f t="shared" si="39"/>
        <v>1.6990800967630205E-2</v>
      </c>
      <c r="Z187" s="39">
        <f t="shared" si="53"/>
        <v>8.4596179161713358E-3</v>
      </c>
      <c r="AA187" s="19">
        <f t="shared" si="40"/>
        <v>4.6767827006944806E-5</v>
      </c>
      <c r="AB187" s="45">
        <f t="shared" si="54"/>
        <v>1.1622719607651932E-2</v>
      </c>
      <c r="AC187" s="81">
        <f t="shared" si="57"/>
        <v>409015.54499661695</v>
      </c>
      <c r="AD187" s="81"/>
    </row>
    <row r="188" spans="2:30">
      <c r="B188" s="8">
        <f>[1]world_population_Raw_Data!B181</f>
        <v>180</v>
      </c>
      <c r="C188" s="9" t="str">
        <f>[1]world_population_Raw_Data!D181</f>
        <v>Martinique</v>
      </c>
      <c r="D188" s="10" t="str">
        <f>[1]world_population_Raw_Data!F181</f>
        <v>North America</v>
      </c>
      <c r="E188" s="11">
        <f>[1]world_population_Raw_Data!N181</f>
        <v>326428</v>
      </c>
      <c r="F188" s="11">
        <f>[1]world_population_Raw_Data!M181</f>
        <v>333786</v>
      </c>
      <c r="G188" s="18">
        <f t="shared" si="41"/>
        <v>2.2540958496207433E-2</v>
      </c>
      <c r="H188" s="39">
        <f t="shared" si="42"/>
        <v>1.0022315527499328</v>
      </c>
      <c r="I188" s="11">
        <f>[1]world_population_Raw_Data!L181</f>
        <v>374271</v>
      </c>
      <c r="J188" s="18">
        <f t="shared" si="43"/>
        <v>0.12129028778918229</v>
      </c>
      <c r="K188" s="39">
        <f t="shared" si="44"/>
        <v>1.0115137856885983</v>
      </c>
      <c r="L188" s="11">
        <f>[1]world_population_Raw_Data!K181</f>
        <v>432543</v>
      </c>
      <c r="M188" s="18">
        <f t="shared" si="45"/>
        <v>0.15569467043933408</v>
      </c>
      <c r="N188" s="39">
        <f t="shared" si="46"/>
        <v>1.4575360529255565E-2</v>
      </c>
      <c r="O188" s="11">
        <f>[1]world_population_Raw_Data!J181</f>
        <v>392181</v>
      </c>
      <c r="P188" s="18">
        <f t="shared" si="47"/>
        <v>-9.331326596430875E-2</v>
      </c>
      <c r="Q188" s="39">
        <f t="shared" si="48"/>
        <v>-9.7480047112229462E-3</v>
      </c>
      <c r="R188" s="11">
        <f>[1]world_population_Raw_Data!I181</f>
        <v>383515</v>
      </c>
      <c r="S188" s="18">
        <f t="shared" si="49"/>
        <v>-2.2096939933347104E-2</v>
      </c>
      <c r="T188" s="39">
        <f t="shared" si="50"/>
        <v>-4.4589760047648586E-3</v>
      </c>
      <c r="U188" s="11">
        <f>[1]world_population_Raw_Data!H181</f>
        <v>370391</v>
      </c>
      <c r="V188" s="18">
        <f t="shared" si="51"/>
        <v>-3.4220304290575335E-2</v>
      </c>
      <c r="W188" s="39">
        <f t="shared" si="52"/>
        <v>-6.939714007122566E-3</v>
      </c>
      <c r="X188" s="11">
        <f>[1]world_population_Raw_Data!G181</f>
        <v>367507</v>
      </c>
      <c r="Y188" s="18">
        <f t="shared" si="39"/>
        <v>-7.7863662993971237E-3</v>
      </c>
      <c r="Z188" s="39">
        <f t="shared" si="53"/>
        <v>-3.9007912358313135E-3</v>
      </c>
      <c r="AA188" s="19">
        <f t="shared" si="40"/>
        <v>4.6091579220757535E-5</v>
      </c>
      <c r="AB188" s="45">
        <f t="shared" si="54"/>
        <v>2.2820800353076098E-3</v>
      </c>
      <c r="AC188" s="81">
        <f t="shared" si="57"/>
        <v>374270.27859506436</v>
      </c>
      <c r="AD188" s="81"/>
    </row>
    <row r="189" spans="2:30">
      <c r="B189" s="8">
        <f>[1]world_population_Raw_Data!B182</f>
        <v>181</v>
      </c>
      <c r="C189" s="9" t="str">
        <f>[1]world_population_Raw_Data!D182</f>
        <v>Vanuatu</v>
      </c>
      <c r="D189" s="10" t="str">
        <f>[1]world_population_Raw_Data!F182</f>
        <v>Oceania</v>
      </c>
      <c r="E189" s="11">
        <f>[1]world_population_Raw_Data!N182</f>
        <v>87019</v>
      </c>
      <c r="F189" s="11">
        <f>[1]world_population_Raw_Data!M182</f>
        <v>118156</v>
      </c>
      <c r="G189" s="18">
        <f t="shared" si="41"/>
        <v>0.35781840747422977</v>
      </c>
      <c r="H189" s="39">
        <f t="shared" si="42"/>
        <v>1.031060547178873</v>
      </c>
      <c r="I189" s="11">
        <f>[1]world_population_Raw_Data!L182</f>
        <v>150882</v>
      </c>
      <c r="J189" s="18">
        <f t="shared" si="43"/>
        <v>0.27697281559971565</v>
      </c>
      <c r="K189" s="39">
        <f t="shared" si="44"/>
        <v>1.0247505620852575</v>
      </c>
      <c r="L189" s="11">
        <f>[1]world_population_Raw_Data!K182</f>
        <v>192074</v>
      </c>
      <c r="M189" s="18">
        <f t="shared" si="45"/>
        <v>0.27300804602271972</v>
      </c>
      <c r="N189" s="39">
        <f t="shared" si="46"/>
        <v>2.4431950166005301E-2</v>
      </c>
      <c r="O189" s="11">
        <f>[1]world_population_Raw_Data!J182</f>
        <v>245453</v>
      </c>
      <c r="P189" s="18">
        <f t="shared" si="47"/>
        <v>0.27790851442673137</v>
      </c>
      <c r="Q189" s="39">
        <f t="shared" si="48"/>
        <v>2.4825625693775555E-2</v>
      </c>
      <c r="R189" s="11">
        <f>[1]world_population_Raw_Data!I182</f>
        <v>276438</v>
      </c>
      <c r="S189" s="18">
        <f t="shared" si="49"/>
        <v>0.12623598000431854</v>
      </c>
      <c r="T189" s="39">
        <f t="shared" si="50"/>
        <v>2.4061124054390204E-2</v>
      </c>
      <c r="U189" s="11">
        <f>[1]world_population_Raw_Data!H182</f>
        <v>311685</v>
      </c>
      <c r="V189" s="18">
        <f t="shared" si="51"/>
        <v>0.12750417815206302</v>
      </c>
      <c r="W189" s="39">
        <f t="shared" si="52"/>
        <v>2.4291649072690991E-2</v>
      </c>
      <c r="X189" s="11">
        <f>[1]world_population_Raw_Data!G182</f>
        <v>326740</v>
      </c>
      <c r="Y189" s="18">
        <f t="shared" si="39"/>
        <v>4.8301971541780966E-2</v>
      </c>
      <c r="Z189" s="39">
        <f t="shared" si="53"/>
        <v>2.3866188298930391E-2</v>
      </c>
      <c r="AA189" s="19">
        <f t="shared" si="40"/>
        <v>4.0978709506459247E-5</v>
      </c>
      <c r="AB189" s="45">
        <f t="shared" si="54"/>
        <v>2.5769480366848674E-2</v>
      </c>
      <c r="AC189" s="81">
        <f t="shared" si="57"/>
        <v>400498.12930384517</v>
      </c>
      <c r="AD189" s="81"/>
    </row>
    <row r="190" spans="2:30">
      <c r="B190" s="8">
        <f>[1]world_population_Raw_Data!B183</f>
        <v>182</v>
      </c>
      <c r="C190" s="9" t="str">
        <f>[1]world_population_Raw_Data!D183</f>
        <v>Mayotte</v>
      </c>
      <c r="D190" s="10" t="str">
        <f>[1]world_population_Raw_Data!F183</f>
        <v>Africa</v>
      </c>
      <c r="E190" s="11">
        <f>[1]world_population_Raw_Data!N183</f>
        <v>35383</v>
      </c>
      <c r="F190" s="11">
        <f>[1]world_population_Raw_Data!M183</f>
        <v>52233</v>
      </c>
      <c r="G190" s="18">
        <f t="shared" si="41"/>
        <v>0.47621739253313738</v>
      </c>
      <c r="H190" s="39">
        <f t="shared" si="42"/>
        <v>1.0397167289314033</v>
      </c>
      <c r="I190" s="11">
        <f>[1]world_population_Raw_Data!L183</f>
        <v>92659</v>
      </c>
      <c r="J190" s="18">
        <f t="shared" si="43"/>
        <v>0.77395516244519746</v>
      </c>
      <c r="K190" s="39">
        <f t="shared" si="44"/>
        <v>1.0589958638232415</v>
      </c>
      <c r="L190" s="11">
        <f>[1]world_population_Raw_Data!K183</f>
        <v>159215</v>
      </c>
      <c r="M190" s="18">
        <f t="shared" si="45"/>
        <v>0.71828964266827833</v>
      </c>
      <c r="N190" s="39">
        <f t="shared" si="46"/>
        <v>5.5624927847089944E-2</v>
      </c>
      <c r="O190" s="11">
        <f>[1]world_population_Raw_Data!J183</f>
        <v>211786</v>
      </c>
      <c r="P190" s="18">
        <f t="shared" si="47"/>
        <v>0.33018873849825708</v>
      </c>
      <c r="Q190" s="39">
        <f t="shared" si="48"/>
        <v>2.8943022996324341E-2</v>
      </c>
      <c r="R190" s="11">
        <f>[1]world_population_Raw_Data!I183</f>
        <v>249545</v>
      </c>
      <c r="S190" s="18">
        <f t="shared" si="49"/>
        <v>0.17828846099364454</v>
      </c>
      <c r="T190" s="39">
        <f t="shared" si="50"/>
        <v>3.3356855294729648E-2</v>
      </c>
      <c r="U190" s="11">
        <f>[1]world_population_Raw_Data!H183</f>
        <v>305587</v>
      </c>
      <c r="V190" s="18">
        <f t="shared" si="51"/>
        <v>0.22457672964795927</v>
      </c>
      <c r="W190" s="39">
        <f t="shared" si="52"/>
        <v>4.1351148808813187E-2</v>
      </c>
      <c r="X190" s="11">
        <f>[1]world_population_Raw_Data!G183</f>
        <v>326101</v>
      </c>
      <c r="Y190" s="18">
        <f t="shared" si="39"/>
        <v>6.7129819004080674E-2</v>
      </c>
      <c r="Z190" s="39">
        <f t="shared" si="53"/>
        <v>3.3019757315454701E-2</v>
      </c>
      <c r="AA190" s="19">
        <f t="shared" si="40"/>
        <v>4.0898568123786087E-5</v>
      </c>
      <c r="AB190" s="45">
        <f t="shared" si="54"/>
        <v>4.3636314057423631E-2</v>
      </c>
      <c r="AC190" s="81">
        <f t="shared" si="57"/>
        <v>458929.09180025483</v>
      </c>
      <c r="AD190" s="81"/>
    </row>
    <row r="191" spans="2:30">
      <c r="B191" s="8">
        <f>[1]world_population_Raw_Data!B184</f>
        <v>183</v>
      </c>
      <c r="C191" s="9" t="str">
        <f>[1]world_population_Raw_Data!D184</f>
        <v>French Polynesia</v>
      </c>
      <c r="D191" s="10" t="str">
        <f>[1]world_population_Raw_Data!F184</f>
        <v>Oceania</v>
      </c>
      <c r="E191" s="11">
        <f>[1]world_population_Raw_Data!N184</f>
        <v>117891</v>
      </c>
      <c r="F191" s="11">
        <f>[1]world_population_Raw_Data!M184</f>
        <v>163591</v>
      </c>
      <c r="G191" s="18">
        <f t="shared" si="41"/>
        <v>0.38764621557201145</v>
      </c>
      <c r="H191" s="39">
        <f t="shared" si="42"/>
        <v>1.0333034408220907</v>
      </c>
      <c r="I191" s="11">
        <f>[1]world_population_Raw_Data!L184</f>
        <v>211089</v>
      </c>
      <c r="J191" s="18">
        <f t="shared" si="43"/>
        <v>0.29034604593162217</v>
      </c>
      <c r="K191" s="39">
        <f t="shared" si="44"/>
        <v>1.0258187184901475</v>
      </c>
      <c r="L191" s="11">
        <f>[1]world_population_Raw_Data!K184</f>
        <v>250927</v>
      </c>
      <c r="M191" s="18">
        <f t="shared" si="45"/>
        <v>0.18872608236336333</v>
      </c>
      <c r="N191" s="39">
        <f t="shared" si="46"/>
        <v>1.7438527695862405E-2</v>
      </c>
      <c r="O191" s="11">
        <f>[1]world_population_Raw_Data!J184</f>
        <v>283788</v>
      </c>
      <c r="P191" s="18">
        <f t="shared" si="47"/>
        <v>0.13095840622970026</v>
      </c>
      <c r="Q191" s="39">
        <f t="shared" si="48"/>
        <v>1.2382579121821946E-2</v>
      </c>
      <c r="R191" s="11">
        <f>[1]world_population_Raw_Data!I184</f>
        <v>291787</v>
      </c>
      <c r="S191" s="18">
        <f t="shared" si="49"/>
        <v>2.8186533609595894E-2</v>
      </c>
      <c r="T191" s="39">
        <f t="shared" si="50"/>
        <v>5.5748023992714391E-3</v>
      </c>
      <c r="U191" s="11">
        <f>[1]world_population_Raw_Data!H184</f>
        <v>301920</v>
      </c>
      <c r="V191" s="18">
        <f t="shared" si="51"/>
        <v>3.4727386758148925E-2</v>
      </c>
      <c r="W191" s="39">
        <f t="shared" si="52"/>
        <v>6.8509607115505577E-3</v>
      </c>
      <c r="X191" s="11">
        <f>[1]world_population_Raw_Data!G184</f>
        <v>306279</v>
      </c>
      <c r="Y191" s="18">
        <f t="shared" si="39"/>
        <v>1.4437599364069952E-2</v>
      </c>
      <c r="Z191" s="39">
        <f t="shared" si="53"/>
        <v>7.1929305570357371E-3</v>
      </c>
      <c r="AA191" s="19">
        <f t="shared" si="40"/>
        <v>3.84125548415524E-5</v>
      </c>
      <c r="AB191" s="45">
        <f t="shared" si="54"/>
        <v>1.8529894097194743E-2</v>
      </c>
      <c r="AC191" s="81">
        <f t="shared" si="57"/>
        <v>354737.79470259394</v>
      </c>
      <c r="AD191" s="81"/>
    </row>
    <row r="192" spans="2:30">
      <c r="B192" s="8">
        <f>[1]world_population_Raw_Data!B185</f>
        <v>184</v>
      </c>
      <c r="C192" s="9" t="str">
        <f>[1]world_population_Raw_Data!D185</f>
        <v>French Guiana</v>
      </c>
      <c r="D192" s="10" t="str">
        <f>[1]world_population_Raw_Data!F185</f>
        <v>South America</v>
      </c>
      <c r="E192" s="11">
        <f>[1]world_population_Raw_Data!N185</f>
        <v>46484</v>
      </c>
      <c r="F192" s="11">
        <f>[1]world_population_Raw_Data!M185</f>
        <v>66825</v>
      </c>
      <c r="G192" s="18">
        <f t="shared" si="41"/>
        <v>0.43759142930900957</v>
      </c>
      <c r="H192" s="39">
        <f t="shared" si="42"/>
        <v>1.0369636851230231</v>
      </c>
      <c r="I192" s="11">
        <f>[1]world_population_Raw_Data!L185</f>
        <v>113931</v>
      </c>
      <c r="J192" s="18">
        <f t="shared" si="43"/>
        <v>0.70491582491582494</v>
      </c>
      <c r="K192" s="39">
        <f t="shared" si="44"/>
        <v>1.0548004203374599</v>
      </c>
      <c r="L192" s="11">
        <f>[1]world_population_Raw_Data!K185</f>
        <v>164351</v>
      </c>
      <c r="M192" s="18">
        <f t="shared" si="45"/>
        <v>0.44254856009338983</v>
      </c>
      <c r="N192" s="39">
        <f t="shared" si="46"/>
        <v>3.7320699333007967E-2</v>
      </c>
      <c r="O192" s="11">
        <f>[1]world_population_Raw_Data!J185</f>
        <v>228453</v>
      </c>
      <c r="P192" s="18">
        <f t="shared" si="47"/>
        <v>0.39003109199213876</v>
      </c>
      <c r="Q192" s="39">
        <f t="shared" si="48"/>
        <v>3.3480892191511291E-2</v>
      </c>
      <c r="R192" s="11">
        <f>[1]world_population_Raw_Data!I185</f>
        <v>257026</v>
      </c>
      <c r="S192" s="18">
        <f t="shared" si="49"/>
        <v>0.12507167776304098</v>
      </c>
      <c r="T192" s="39">
        <f t="shared" si="50"/>
        <v>2.3849301659131017E-2</v>
      </c>
      <c r="U192" s="11">
        <f>[1]world_population_Raw_Data!H185</f>
        <v>290969</v>
      </c>
      <c r="V192" s="18">
        <f t="shared" si="51"/>
        <v>0.13206056974780761</v>
      </c>
      <c r="W192" s="39">
        <f t="shared" si="52"/>
        <v>2.5118173371264652E-2</v>
      </c>
      <c r="X192" s="11">
        <f>[1]world_population_Raw_Data!G185</f>
        <v>304557</v>
      </c>
      <c r="Y192" s="18">
        <f t="shared" si="39"/>
        <v>4.669913289731896E-2</v>
      </c>
      <c r="Z192" s="39">
        <f t="shared" si="53"/>
        <v>2.3083150529476182E-2</v>
      </c>
      <c r="AA192" s="19">
        <f t="shared" si="40"/>
        <v>3.8196586984020043E-5</v>
      </c>
      <c r="AB192" s="45">
        <f t="shared" si="54"/>
        <v>3.6810361479337583E-2</v>
      </c>
      <c r="AC192" s="81">
        <f t="shared" si="57"/>
        <v>406689.73951566097</v>
      </c>
      <c r="AD192" s="81"/>
    </row>
    <row r="193" spans="2:30">
      <c r="B193" s="8">
        <f>[1]world_population_Raw_Data!B186</f>
        <v>185</v>
      </c>
      <c r="C193" s="9" t="str">
        <f>[1]world_population_Raw_Data!D186</f>
        <v>New Caledonia</v>
      </c>
      <c r="D193" s="10" t="str">
        <f>[1]world_population_Raw_Data!F186</f>
        <v>Oceania</v>
      </c>
      <c r="E193" s="11">
        <f>[1]world_population_Raw_Data!N186</f>
        <v>110982</v>
      </c>
      <c r="F193" s="11">
        <f>[1]world_population_Raw_Data!M186</f>
        <v>148599</v>
      </c>
      <c r="G193" s="18">
        <f t="shared" si="41"/>
        <v>0.33894685624695897</v>
      </c>
      <c r="H193" s="39">
        <f t="shared" si="42"/>
        <v>1.029618492172039</v>
      </c>
      <c r="I193" s="11">
        <f>[1]world_population_Raw_Data!L186</f>
        <v>177264</v>
      </c>
      <c r="J193" s="18">
        <f t="shared" si="43"/>
        <v>0.19290170189570588</v>
      </c>
      <c r="K193" s="39">
        <f t="shared" si="44"/>
        <v>1.0177953580554646</v>
      </c>
      <c r="L193" s="11">
        <f>[1]world_population_Raw_Data!K186</f>
        <v>221537</v>
      </c>
      <c r="M193" s="18">
        <f t="shared" si="45"/>
        <v>0.24975742395523062</v>
      </c>
      <c r="N193" s="39">
        <f t="shared" si="46"/>
        <v>2.2545336845036346E-2</v>
      </c>
      <c r="O193" s="11">
        <f>[1]world_population_Raw_Data!J186</f>
        <v>261426</v>
      </c>
      <c r="P193" s="18">
        <f t="shared" si="47"/>
        <v>0.18005570175636576</v>
      </c>
      <c r="Q193" s="39">
        <f t="shared" si="48"/>
        <v>1.6693977010986183E-2</v>
      </c>
      <c r="R193" s="11">
        <f>[1]world_population_Raw_Data!I186</f>
        <v>283032</v>
      </c>
      <c r="S193" s="18">
        <f t="shared" si="49"/>
        <v>8.2646714557848111E-2</v>
      </c>
      <c r="T193" s="39">
        <f t="shared" si="50"/>
        <v>1.6008526106225052E-2</v>
      </c>
      <c r="U193" s="11">
        <f>[1]world_population_Raw_Data!H186</f>
        <v>286403</v>
      </c>
      <c r="V193" s="18">
        <f t="shared" si="51"/>
        <v>1.1910314028095764E-2</v>
      </c>
      <c r="W193" s="39">
        <f t="shared" si="52"/>
        <v>2.3707947872650958E-3</v>
      </c>
      <c r="X193" s="11">
        <f>[1]world_population_Raw_Data!G186</f>
        <v>289950</v>
      </c>
      <c r="Y193" s="18">
        <f t="shared" si="39"/>
        <v>1.2384646808867226E-2</v>
      </c>
      <c r="Z193" s="39">
        <f t="shared" si="53"/>
        <v>6.173268780714114E-3</v>
      </c>
      <c r="AA193" s="19">
        <f t="shared" si="40"/>
        <v>3.6364622701223782E-5</v>
      </c>
      <c r="AB193" s="45">
        <f t="shared" si="54"/>
        <v>1.8639675712163184E-2</v>
      </c>
      <c r="AC193" s="81">
        <f t="shared" si="57"/>
        <v>336114.93897727871</v>
      </c>
      <c r="AD193" s="81"/>
    </row>
    <row r="194" spans="2:30">
      <c r="B194" s="8">
        <f>[1]world_population_Raw_Data!B187</f>
        <v>186</v>
      </c>
      <c r="C194" s="9" t="str">
        <f>[1]world_population_Raw_Data!D187</f>
        <v>Barbados</v>
      </c>
      <c r="D194" s="10" t="str">
        <f>[1]world_population_Raw_Data!F187</f>
        <v>North America</v>
      </c>
      <c r="E194" s="11">
        <f>[1]world_population_Raw_Data!N187</f>
        <v>241397</v>
      </c>
      <c r="F194" s="11">
        <f>[1]world_population_Raw_Data!M187</f>
        <v>253575</v>
      </c>
      <c r="G194" s="18">
        <f t="shared" si="41"/>
        <v>5.0448017166741924E-2</v>
      </c>
      <c r="H194" s="39">
        <f t="shared" si="42"/>
        <v>1.004933806957659</v>
      </c>
      <c r="I194" s="11">
        <f>[1]world_population_Raw_Data!L187</f>
        <v>258868</v>
      </c>
      <c r="J194" s="18">
        <f t="shared" si="43"/>
        <v>2.0873508823819383E-2</v>
      </c>
      <c r="K194" s="39">
        <f t="shared" si="44"/>
        <v>1.0020679995687396</v>
      </c>
      <c r="L194" s="11">
        <f>[1]world_population_Raw_Data!K187</f>
        <v>264657</v>
      </c>
      <c r="M194" s="18">
        <f t="shared" si="45"/>
        <v>2.2362748582289042E-2</v>
      </c>
      <c r="N194" s="39">
        <f t="shared" si="46"/>
        <v>2.2140843437628011E-3</v>
      </c>
      <c r="O194" s="11">
        <f>[1]world_population_Raw_Data!J187</f>
        <v>274711</v>
      </c>
      <c r="P194" s="18">
        <f t="shared" si="47"/>
        <v>3.798879304155945E-2</v>
      </c>
      <c r="Q194" s="39">
        <f t="shared" si="48"/>
        <v>3.7354582985549278E-3</v>
      </c>
      <c r="R194" s="11">
        <f>[1]world_population_Raw_Data!I187</f>
        <v>278083</v>
      </c>
      <c r="S194" s="18">
        <f t="shared" si="49"/>
        <v>1.2274717794336594E-2</v>
      </c>
      <c r="T194" s="39">
        <f t="shared" si="50"/>
        <v>2.4429780793591149E-3</v>
      </c>
      <c r="U194" s="11">
        <f>[1]world_population_Raw_Data!H187</f>
        <v>280693</v>
      </c>
      <c r="V194" s="18">
        <f t="shared" si="51"/>
        <v>9.3856870071165801E-3</v>
      </c>
      <c r="W194" s="39">
        <f t="shared" si="52"/>
        <v>1.8701295390770589E-3</v>
      </c>
      <c r="X194" s="11">
        <f>[1]world_population_Raw_Data!G187</f>
        <v>281635</v>
      </c>
      <c r="Y194" s="18">
        <f t="shared" si="39"/>
        <v>3.3559796646157902E-3</v>
      </c>
      <c r="Z194" s="39">
        <f t="shared" si="53"/>
        <v>1.6765843647419398E-3</v>
      </c>
      <c r="AA194" s="19">
        <f t="shared" si="40"/>
        <v>3.5321781391478393E-5</v>
      </c>
      <c r="AB194" s="45">
        <f t="shared" si="54"/>
        <v>2.9691882805531478E-3</v>
      </c>
      <c r="AC194" s="81">
        <f t="shared" si="57"/>
        <v>288394.75477267453</v>
      </c>
      <c r="AD194" s="81"/>
    </row>
    <row r="195" spans="2:30">
      <c r="B195" s="8">
        <f>[1]world_population_Raw_Data!B188</f>
        <v>187</v>
      </c>
      <c r="C195" s="9" t="str">
        <f>[1]world_population_Raw_Data!D188</f>
        <v>Sao Tome and Principe</v>
      </c>
      <c r="D195" s="10" t="str">
        <f>[1]world_population_Raw_Data!F188</f>
        <v>Africa</v>
      </c>
      <c r="E195" s="11">
        <f>[1]world_population_Raw_Data!N188</f>
        <v>77583</v>
      </c>
      <c r="F195" s="11">
        <f>[1]world_population_Raw_Data!M188</f>
        <v>97210</v>
      </c>
      <c r="G195" s="18">
        <f t="shared" si="41"/>
        <v>0.25298067875694419</v>
      </c>
      <c r="H195" s="39">
        <f t="shared" si="42"/>
        <v>1.0228087563775723</v>
      </c>
      <c r="I195" s="11">
        <f>[1]world_population_Raw_Data!L188</f>
        <v>120343</v>
      </c>
      <c r="J195" s="18">
        <f t="shared" si="43"/>
        <v>0.23796934471762166</v>
      </c>
      <c r="K195" s="39">
        <f t="shared" si="44"/>
        <v>1.0215767235845601</v>
      </c>
      <c r="L195" s="11">
        <f>[1]world_population_Raw_Data!K188</f>
        <v>143714</v>
      </c>
      <c r="M195" s="18">
        <f t="shared" si="45"/>
        <v>0.19420323575114465</v>
      </c>
      <c r="N195" s="39">
        <f t="shared" si="46"/>
        <v>1.7906351707774437E-2</v>
      </c>
      <c r="O195" s="11">
        <f>[1]world_population_Raw_Data!J188</f>
        <v>182138</v>
      </c>
      <c r="P195" s="18">
        <f t="shared" si="47"/>
        <v>0.26736434863687603</v>
      </c>
      <c r="Q195" s="39">
        <f t="shared" si="48"/>
        <v>2.3976874430579276E-2</v>
      </c>
      <c r="R195" s="11">
        <f>[1]world_population_Raw_Data!I188</f>
        <v>201124</v>
      </c>
      <c r="S195" s="18">
        <f t="shared" si="49"/>
        <v>0.10423964246889721</v>
      </c>
      <c r="T195" s="39">
        <f t="shared" si="50"/>
        <v>2.0029346897653566E-2</v>
      </c>
      <c r="U195" s="11">
        <f>[1]world_population_Raw_Data!H188</f>
        <v>218641</v>
      </c>
      <c r="V195" s="18">
        <f t="shared" si="51"/>
        <v>8.709552315984169E-2</v>
      </c>
      <c r="W195" s="39">
        <f t="shared" si="52"/>
        <v>1.6842152847369452E-2</v>
      </c>
      <c r="X195" s="11">
        <f>[1]world_population_Raw_Data!G188</f>
        <v>227380</v>
      </c>
      <c r="Y195" s="18">
        <f t="shared" si="39"/>
        <v>3.9969630581638396E-2</v>
      </c>
      <c r="Z195" s="39">
        <f t="shared" si="53"/>
        <v>1.9789012777465809E-2</v>
      </c>
      <c r="AA195" s="19">
        <f t="shared" si="40"/>
        <v>2.8517288876717582E-5</v>
      </c>
      <c r="AB195" s="45">
        <f t="shared" si="54"/>
        <v>2.0893630264496865E-2</v>
      </c>
      <c r="AC195" s="81">
        <f t="shared" si="57"/>
        <v>268284.89083965658</v>
      </c>
      <c r="AD195" s="81"/>
    </row>
    <row r="196" spans="2:30">
      <c r="B196" s="8">
        <f>[1]world_population_Raw_Data!B189</f>
        <v>188</v>
      </c>
      <c r="C196" s="9" t="str">
        <f>[1]world_population_Raw_Data!D189</f>
        <v>Samoa</v>
      </c>
      <c r="D196" s="10" t="str">
        <f>[1]world_population_Raw_Data!F189</f>
        <v>Oceania</v>
      </c>
      <c r="E196" s="11">
        <f>[1]world_population_Raw_Data!N189</f>
        <v>142771</v>
      </c>
      <c r="F196" s="11">
        <f>[1]world_population_Raw_Data!M189</f>
        <v>164905</v>
      </c>
      <c r="G196" s="18">
        <f t="shared" si="41"/>
        <v>0.15503148398484287</v>
      </c>
      <c r="H196" s="39">
        <f t="shared" si="42"/>
        <v>1.0145171248666165</v>
      </c>
      <c r="I196" s="11">
        <f>[1]world_population_Raw_Data!L189</f>
        <v>168186</v>
      </c>
      <c r="J196" s="18">
        <f t="shared" si="43"/>
        <v>1.9896303932567236E-2</v>
      </c>
      <c r="K196" s="39">
        <f t="shared" si="44"/>
        <v>1.0019720378457286</v>
      </c>
      <c r="L196" s="11">
        <f>[1]world_population_Raw_Data!K189</f>
        <v>184008</v>
      </c>
      <c r="M196" s="18">
        <f t="shared" si="45"/>
        <v>9.4074417609075672E-2</v>
      </c>
      <c r="N196" s="39">
        <f t="shared" si="46"/>
        <v>9.0314118072067906E-3</v>
      </c>
      <c r="O196" s="11">
        <f>[1]world_population_Raw_Data!J189</f>
        <v>194672</v>
      </c>
      <c r="P196" s="18">
        <f t="shared" si="47"/>
        <v>5.7954001999913046E-2</v>
      </c>
      <c r="Q196" s="39">
        <f t="shared" si="48"/>
        <v>5.6495846615531864E-3</v>
      </c>
      <c r="R196" s="11">
        <f>[1]world_population_Raw_Data!I189</f>
        <v>203571</v>
      </c>
      <c r="S196" s="18">
        <f t="shared" si="49"/>
        <v>4.5712788690720804E-2</v>
      </c>
      <c r="T196" s="39">
        <f t="shared" si="50"/>
        <v>8.9798283704207726E-3</v>
      </c>
      <c r="U196" s="11">
        <f>[1]world_population_Raw_Data!H189</f>
        <v>214929</v>
      </c>
      <c r="V196" s="18">
        <f t="shared" si="51"/>
        <v>5.5793801671161415E-2</v>
      </c>
      <c r="W196" s="39">
        <f t="shared" si="52"/>
        <v>1.0917748882807832E-2</v>
      </c>
      <c r="X196" s="11">
        <f>[1]world_population_Raw_Data!G189</f>
        <v>222382</v>
      </c>
      <c r="Y196" s="18">
        <f t="shared" si="39"/>
        <v>3.4676567610699351E-2</v>
      </c>
      <c r="Z196" s="39">
        <f t="shared" si="53"/>
        <v>1.7190526701216902E-2</v>
      </c>
      <c r="AA196" s="19">
        <f t="shared" si="40"/>
        <v>2.7890455339001712E-5</v>
      </c>
      <c r="AB196" s="45">
        <f t="shared" si="54"/>
        <v>8.558622674056604E-3</v>
      </c>
      <c r="AC196" s="81">
        <f t="shared" si="57"/>
        <v>238072.26600997825</v>
      </c>
      <c r="AD196" s="81"/>
    </row>
    <row r="197" spans="2:30">
      <c r="B197" s="8">
        <f>[1]world_population_Raw_Data!B190</f>
        <v>189</v>
      </c>
      <c r="C197" s="9" t="str">
        <f>[1]world_population_Raw_Data!D190</f>
        <v>Curacao</v>
      </c>
      <c r="D197" s="10" t="str">
        <f>[1]world_population_Raw_Data!F190</f>
        <v>North America</v>
      </c>
      <c r="E197" s="11">
        <f>[1]world_population_Raw_Data!N190</f>
        <v>150385</v>
      </c>
      <c r="F197" s="11">
        <f>[1]world_population_Raw_Data!M190</f>
        <v>156851</v>
      </c>
      <c r="G197" s="18">
        <f t="shared" si="41"/>
        <v>4.2996309472354291E-2</v>
      </c>
      <c r="H197" s="39">
        <f t="shared" si="42"/>
        <v>1.0042186372663822</v>
      </c>
      <c r="I197" s="11">
        <f>[1]world_population_Raw_Data!L190</f>
        <v>155446</v>
      </c>
      <c r="J197" s="18">
        <f t="shared" si="43"/>
        <v>-8.9575456962340053E-3</v>
      </c>
      <c r="K197" s="39">
        <f t="shared" si="44"/>
        <v>0.99910061411942563</v>
      </c>
      <c r="L197" s="11">
        <f>[1]world_population_Raw_Data!K190</f>
        <v>141424</v>
      </c>
      <c r="M197" s="18">
        <f t="shared" si="45"/>
        <v>-9.0204958635153043E-2</v>
      </c>
      <c r="N197" s="39">
        <f t="shared" si="46"/>
        <v>-9.4090486764495385E-3</v>
      </c>
      <c r="O197" s="11">
        <f>[1]world_population_Raw_Data!J190</f>
        <v>159380</v>
      </c>
      <c r="P197" s="18">
        <f t="shared" si="47"/>
        <v>0.12696572010408416</v>
      </c>
      <c r="Q197" s="39">
        <f t="shared" si="48"/>
        <v>1.2024602929683548E-2</v>
      </c>
      <c r="R197" s="11">
        <f>[1]world_population_Raw_Data!I190</f>
        <v>169572</v>
      </c>
      <c r="S197" s="18">
        <f t="shared" si="49"/>
        <v>6.3947797716150084E-2</v>
      </c>
      <c r="T197" s="39">
        <f t="shared" si="50"/>
        <v>1.2474430126688585E-2</v>
      </c>
      <c r="U197" s="11">
        <f>[1]world_population_Raw_Data!H190</f>
        <v>189288</v>
      </c>
      <c r="V197" s="18">
        <f t="shared" si="51"/>
        <v>0.11626919538603071</v>
      </c>
      <c r="W197" s="39">
        <f t="shared" si="52"/>
        <v>2.2242158976371718E-2</v>
      </c>
      <c r="X197" s="11">
        <f>[1]world_population_Raw_Data!G190</f>
        <v>191163</v>
      </c>
      <c r="Y197" s="18">
        <f t="shared" si="39"/>
        <v>9.9055407632813487E-3</v>
      </c>
      <c r="Z197" s="39">
        <f t="shared" si="53"/>
        <v>4.9405657864953767E-3</v>
      </c>
      <c r="AA197" s="19">
        <f t="shared" si="40"/>
        <v>2.3975065940451945E-5</v>
      </c>
      <c r="AB197" s="45">
        <f t="shared" si="54"/>
        <v>4.6246569227152978E-3</v>
      </c>
      <c r="AC197" s="81">
        <f t="shared" si="57"/>
        <v>198351.04901817947</v>
      </c>
      <c r="AD197" s="81"/>
    </row>
    <row r="198" spans="2:30">
      <c r="B198" s="8">
        <f>[1]world_population_Raw_Data!B191</f>
        <v>190</v>
      </c>
      <c r="C198" s="9" t="str">
        <f>[1]world_population_Raw_Data!D191</f>
        <v>Saint Lucia</v>
      </c>
      <c r="D198" s="10" t="str">
        <f>[1]world_population_Raw_Data!F191</f>
        <v>North America</v>
      </c>
      <c r="E198" s="11">
        <f>[1]world_population_Raw_Data!N191</f>
        <v>103090</v>
      </c>
      <c r="F198" s="11">
        <f>[1]world_population_Raw_Data!M191</f>
        <v>121633</v>
      </c>
      <c r="G198" s="18">
        <f t="shared" si="41"/>
        <v>0.17987195654282664</v>
      </c>
      <c r="H198" s="39">
        <f t="shared" si="42"/>
        <v>1.0166781450682481</v>
      </c>
      <c r="I198" s="11">
        <f>[1]world_population_Raw_Data!L191</f>
        <v>142301</v>
      </c>
      <c r="J198" s="18">
        <f t="shared" si="43"/>
        <v>0.1699209918360971</v>
      </c>
      <c r="K198" s="39">
        <f t="shared" si="44"/>
        <v>1.015817413433125</v>
      </c>
      <c r="L198" s="11">
        <f>[1]world_population_Raw_Data!K191</f>
        <v>159500</v>
      </c>
      <c r="M198" s="18">
        <f t="shared" si="45"/>
        <v>0.12086352168993893</v>
      </c>
      <c r="N198" s="39">
        <f t="shared" si="46"/>
        <v>1.1475280606596083E-2</v>
      </c>
      <c r="O198" s="11">
        <f>[1]world_population_Raw_Data!J191</f>
        <v>170935</v>
      </c>
      <c r="P198" s="18">
        <f t="shared" si="47"/>
        <v>7.169278996865204E-2</v>
      </c>
      <c r="Q198" s="39">
        <f t="shared" si="48"/>
        <v>6.9479704287276345E-3</v>
      </c>
      <c r="R198" s="11">
        <f>[1]world_population_Raw_Data!I191</f>
        <v>175623</v>
      </c>
      <c r="S198" s="18">
        <f t="shared" si="49"/>
        <v>2.7425629625296166E-2</v>
      </c>
      <c r="T198" s="39">
        <f t="shared" si="50"/>
        <v>5.4259242636185423E-3</v>
      </c>
      <c r="U198" s="11">
        <f>[1]world_population_Raw_Data!H191</f>
        <v>179237</v>
      </c>
      <c r="V198" s="18">
        <f t="shared" si="51"/>
        <v>2.0578170285213214E-2</v>
      </c>
      <c r="W198" s="39">
        <f t="shared" si="52"/>
        <v>4.0821695118498091E-3</v>
      </c>
      <c r="X198" s="11">
        <f>[1]world_population_Raw_Data!G191</f>
        <v>179857</v>
      </c>
      <c r="Y198" s="18">
        <f t="shared" si="39"/>
        <v>3.4591072155860676E-3</v>
      </c>
      <c r="Z198" s="39">
        <f t="shared" si="53"/>
        <v>1.7280605112277581E-3</v>
      </c>
      <c r="AA198" s="19">
        <f t="shared" si="40"/>
        <v>2.2557102759696519E-5</v>
      </c>
      <c r="AB198" s="45">
        <f t="shared" si="54"/>
        <v>1.0760553870900136E-2</v>
      </c>
      <c r="AC198" s="81">
        <f t="shared" si="57"/>
        <v>195935.72260839352</v>
      </c>
      <c r="AD198" s="81"/>
    </row>
    <row r="199" spans="2:30">
      <c r="B199" s="8">
        <f>[1]world_population_Raw_Data!B192</f>
        <v>191</v>
      </c>
      <c r="C199" s="9" t="str">
        <f>[1]world_population_Raw_Data!D192</f>
        <v>Guam</v>
      </c>
      <c r="D199" s="10" t="str">
        <f>[1]world_population_Raw_Data!F192</f>
        <v>Oceania</v>
      </c>
      <c r="E199" s="11">
        <f>[1]world_population_Raw_Data!N192</f>
        <v>88300</v>
      </c>
      <c r="F199" s="11">
        <f>[1]world_population_Raw_Data!M192</f>
        <v>110286</v>
      </c>
      <c r="G199" s="18">
        <f t="shared" si="41"/>
        <v>0.24899207248018121</v>
      </c>
      <c r="H199" s="39">
        <f t="shared" si="42"/>
        <v>1.0224826989025628</v>
      </c>
      <c r="I199" s="11">
        <f>[1]world_population_Raw_Data!L192</f>
        <v>138263</v>
      </c>
      <c r="J199" s="18">
        <f t="shared" si="43"/>
        <v>0.25367680394610376</v>
      </c>
      <c r="K199" s="39">
        <f t="shared" si="44"/>
        <v>1.0228655669099775</v>
      </c>
      <c r="L199" s="11">
        <f>[1]world_population_Raw_Data!K192</f>
        <v>160188</v>
      </c>
      <c r="M199" s="18">
        <f t="shared" si="45"/>
        <v>0.15857460058005396</v>
      </c>
      <c r="N199" s="39">
        <f t="shared" si="46"/>
        <v>1.4827904288530869E-2</v>
      </c>
      <c r="O199" s="11">
        <f>[1]world_population_Raw_Data!J192</f>
        <v>164905</v>
      </c>
      <c r="P199" s="18">
        <f t="shared" si="47"/>
        <v>2.9446650186031414E-2</v>
      </c>
      <c r="Q199" s="39">
        <f t="shared" si="48"/>
        <v>2.9063577974852706E-3</v>
      </c>
      <c r="R199" s="11">
        <f>[1]world_population_Raw_Data!I192</f>
        <v>167978</v>
      </c>
      <c r="S199" s="18">
        <f t="shared" si="49"/>
        <v>1.8634971650344136E-2</v>
      </c>
      <c r="T199" s="39">
        <f t="shared" si="50"/>
        <v>3.6995199798721679E-3</v>
      </c>
      <c r="U199" s="11">
        <f>[1]world_population_Raw_Data!H192</f>
        <v>169231</v>
      </c>
      <c r="V199" s="18">
        <f t="shared" si="51"/>
        <v>7.4593101477574445E-3</v>
      </c>
      <c r="W199" s="39">
        <f t="shared" si="52"/>
        <v>1.4874305436802793E-3</v>
      </c>
      <c r="X199" s="11">
        <f>[1]world_population_Raw_Data!G192</f>
        <v>171774</v>
      </c>
      <c r="Y199" s="18">
        <f t="shared" si="39"/>
        <v>1.5026797690730422E-2</v>
      </c>
      <c r="Z199" s="39">
        <f t="shared" si="53"/>
        <v>7.4853833633172773E-3</v>
      </c>
      <c r="AA199" s="19">
        <f t="shared" si="40"/>
        <v>2.1543358164787078E-5</v>
      </c>
      <c r="AB199" s="45">
        <f t="shared" si="54"/>
        <v>1.2879145358875022E-2</v>
      </c>
      <c r="AC199" s="81">
        <f t="shared" si="57"/>
        <v>190291.09429753319</v>
      </c>
      <c r="AD199" s="81"/>
    </row>
    <row r="200" spans="2:30">
      <c r="B200" s="8">
        <f>[1]world_population_Raw_Data!B193</f>
        <v>192</v>
      </c>
      <c r="C200" s="9" t="str">
        <f>[1]world_population_Raw_Data!D193</f>
        <v>Kiribati</v>
      </c>
      <c r="D200" s="10" t="str">
        <f>[1]world_population_Raw_Data!F193</f>
        <v>Oceania</v>
      </c>
      <c r="E200" s="11">
        <f>[1]world_population_Raw_Data!N193</f>
        <v>57437</v>
      </c>
      <c r="F200" s="11">
        <f>[1]world_population_Raw_Data!M193</f>
        <v>60813</v>
      </c>
      <c r="G200" s="18">
        <f t="shared" si="41"/>
        <v>5.8777443111583123E-2</v>
      </c>
      <c r="H200" s="39">
        <f t="shared" si="42"/>
        <v>1.0057278303427017</v>
      </c>
      <c r="I200" s="11">
        <f>[1]world_population_Raw_Data!L193</f>
        <v>75124</v>
      </c>
      <c r="J200" s="18">
        <f t="shared" si="43"/>
        <v>0.23532797263742949</v>
      </c>
      <c r="K200" s="39">
        <f t="shared" si="44"/>
        <v>1.0213585470564643</v>
      </c>
      <c r="L200" s="11">
        <f>[1]world_population_Raw_Data!K193</f>
        <v>88826</v>
      </c>
      <c r="M200" s="18">
        <f t="shared" si="45"/>
        <v>0.18239177892550981</v>
      </c>
      <c r="N200" s="39">
        <f t="shared" si="46"/>
        <v>1.6895066030175876E-2</v>
      </c>
      <c r="O200" s="11">
        <f>[1]world_population_Raw_Data!J193</f>
        <v>107995</v>
      </c>
      <c r="P200" s="18">
        <f t="shared" si="47"/>
        <v>0.21580393128138159</v>
      </c>
      <c r="Q200" s="39">
        <f t="shared" si="48"/>
        <v>1.9732719224855311E-2</v>
      </c>
      <c r="R200" s="11">
        <f>[1]world_population_Raw_Data!I193</f>
        <v>116707</v>
      </c>
      <c r="S200" s="18">
        <f t="shared" si="49"/>
        <v>8.0670401407472572E-2</v>
      </c>
      <c r="T200" s="39">
        <f t="shared" si="50"/>
        <v>1.5637321214657884E-2</v>
      </c>
      <c r="U200" s="11">
        <f>[1]world_population_Raw_Data!H193</f>
        <v>126463</v>
      </c>
      <c r="V200" s="18">
        <f t="shared" si="51"/>
        <v>8.3593957517543935E-2</v>
      </c>
      <c r="W200" s="39">
        <f t="shared" si="52"/>
        <v>1.6186251724493728E-2</v>
      </c>
      <c r="X200" s="11">
        <f>[1]world_population_Raw_Data!G193</f>
        <v>131232</v>
      </c>
      <c r="Y200" s="18">
        <f t="shared" si="39"/>
        <v>3.7710634731107119E-2</v>
      </c>
      <c r="Z200" s="39">
        <f t="shared" si="53"/>
        <v>1.8680830648690971E-2</v>
      </c>
      <c r="AA200" s="19">
        <f t="shared" si="40"/>
        <v>1.6458707247204687E-5</v>
      </c>
      <c r="AB200" s="45">
        <f t="shared" si="54"/>
        <v>1.601687938037899E-2</v>
      </c>
      <c r="AC200" s="81">
        <f t="shared" si="57"/>
        <v>149020.88290696495</v>
      </c>
      <c r="AD200" s="81"/>
    </row>
    <row r="201" spans="2:30">
      <c r="B201" s="8">
        <f>[1]world_population_Raw_Data!B194</f>
        <v>193</v>
      </c>
      <c r="C201" s="9" t="str">
        <f>[1]world_population_Raw_Data!D194</f>
        <v>Grenada</v>
      </c>
      <c r="D201" s="10" t="str">
        <f>[1]world_population_Raw_Data!F194</f>
        <v>North America</v>
      </c>
      <c r="E201" s="11">
        <f>[1]world_population_Raw_Data!N194</f>
        <v>98794</v>
      </c>
      <c r="F201" s="11">
        <f>[1]world_population_Raw_Data!M194</f>
        <v>94838</v>
      </c>
      <c r="G201" s="18">
        <f t="shared" si="41"/>
        <v>-4.0042917586088224E-2</v>
      </c>
      <c r="H201" s="39">
        <f t="shared" si="42"/>
        <v>0.99592166893900069</v>
      </c>
      <c r="I201" s="11">
        <f>[1]world_population_Raw_Data!L194</f>
        <v>99047</v>
      </c>
      <c r="J201" s="18">
        <f t="shared" si="43"/>
        <v>4.4380944347202599E-2</v>
      </c>
      <c r="K201" s="39">
        <f t="shared" si="44"/>
        <v>1.0043518732291759</v>
      </c>
      <c r="L201" s="11">
        <f>[1]world_population_Raw_Data!K194</f>
        <v>107432</v>
      </c>
      <c r="M201" s="18">
        <f t="shared" si="45"/>
        <v>8.4656779104869406E-2</v>
      </c>
      <c r="N201" s="39">
        <f t="shared" si="46"/>
        <v>8.1594689226616168E-3</v>
      </c>
      <c r="O201" s="11">
        <f>[1]world_population_Raw_Data!J194</f>
        <v>114039</v>
      </c>
      <c r="P201" s="18">
        <f t="shared" si="47"/>
        <v>6.1499367041477397E-2</v>
      </c>
      <c r="Q201" s="39">
        <f t="shared" si="48"/>
        <v>5.9860860195464216E-3</v>
      </c>
      <c r="R201" s="11">
        <f>[1]world_population_Raw_Data!I194</f>
        <v>118980</v>
      </c>
      <c r="S201" s="18">
        <f t="shared" si="49"/>
        <v>4.3327282771683372E-2</v>
      </c>
      <c r="T201" s="39">
        <f t="shared" si="50"/>
        <v>8.519065781170676E-3</v>
      </c>
      <c r="U201" s="11">
        <f>[1]world_population_Raw_Data!H194</f>
        <v>123663</v>
      </c>
      <c r="V201" s="18">
        <f t="shared" si="51"/>
        <v>3.9359556227937471E-2</v>
      </c>
      <c r="W201" s="39">
        <f t="shared" si="52"/>
        <v>7.7508257645206857E-3</v>
      </c>
      <c r="X201" s="11">
        <f>[1]world_population_Raw_Data!G194</f>
        <v>125438</v>
      </c>
      <c r="Y201" s="18">
        <f t="shared" ref="Y201:Y239" si="58">(X201-U201)/U201</f>
        <v>1.4353525306680251E-2</v>
      </c>
      <c r="Z201" s="39">
        <f t="shared" si="53"/>
        <v>7.1511928735825681E-3</v>
      </c>
      <c r="AA201" s="19">
        <f t="shared" ref="AA201:AA239" si="59">X201/$X$241</f>
        <v>1.5732041877551676E-5</v>
      </c>
      <c r="AB201" s="45">
        <f t="shared" si="54"/>
        <v>4.6023804619201858E-3</v>
      </c>
      <c r="AC201" s="81">
        <f t="shared" si="57"/>
        <v>130131.59240434022</v>
      </c>
      <c r="AD201" s="81"/>
    </row>
    <row r="202" spans="2:30">
      <c r="B202" s="8">
        <f>[1]world_population_Raw_Data!B195</f>
        <v>194</v>
      </c>
      <c r="C202" s="9" t="str">
        <f>[1]world_population_Raw_Data!D195</f>
        <v>Micronesia</v>
      </c>
      <c r="D202" s="10" t="str">
        <f>[1]world_population_Raw_Data!F195</f>
        <v>Oceania</v>
      </c>
      <c r="E202" s="11">
        <f>[1]world_population_Raw_Data!N195</f>
        <v>58989</v>
      </c>
      <c r="F202" s="11">
        <f>[1]world_population_Raw_Data!M195</f>
        <v>76299</v>
      </c>
      <c r="G202" s="18">
        <f t="shared" ref="G202:G239" si="60">(F202-E202)/E202</f>
        <v>0.29344454050755225</v>
      </c>
      <c r="H202" s="39">
        <f t="shared" ref="H202:H239" si="61">(F202/E202)^(1/10)</f>
        <v>1.0260647815010484</v>
      </c>
      <c r="I202" s="11">
        <f>[1]world_population_Raw_Data!L195</f>
        <v>98603</v>
      </c>
      <c r="J202" s="18">
        <f t="shared" ref="J202:J239" si="62">(I202-F202)/F202</f>
        <v>0.29232362154156671</v>
      </c>
      <c r="K202" s="39">
        <f t="shared" ref="K202:K239" si="63">(I202/F202)^(1/10)</f>
        <v>1.0259758264503664</v>
      </c>
      <c r="L202" s="11">
        <f>[1]world_population_Raw_Data!K195</f>
        <v>111709</v>
      </c>
      <c r="M202" s="18">
        <f t="shared" ref="M202:M239" si="64">(L202-I202)/I202</f>
        <v>0.13291684837175338</v>
      </c>
      <c r="N202" s="39">
        <f t="shared" ref="N202:N239" si="65">(L202/I202)^(1/10)-1</f>
        <v>1.2557753502737246E-2</v>
      </c>
      <c r="O202" s="11">
        <f>[1]world_population_Raw_Data!J195</f>
        <v>107588</v>
      </c>
      <c r="P202" s="18">
        <f t="shared" ref="P202:P239" si="66">(O202-L202)/L202</f>
        <v>-3.6890492261142792E-2</v>
      </c>
      <c r="Q202" s="39">
        <f t="shared" ref="Q202:Q239" si="67">(O202/L202)^(1/10)-1</f>
        <v>-3.7517603393849575E-3</v>
      </c>
      <c r="R202" s="11">
        <f>[1]world_population_Raw_Data!I195</f>
        <v>109462</v>
      </c>
      <c r="S202" s="18">
        <f t="shared" ref="S202:S239" si="68">(R202-O202)/O202</f>
        <v>1.74182994385991E-2</v>
      </c>
      <c r="T202" s="39">
        <f t="shared" ref="T202:T239" si="69">(R202/O202)^(1/5)-1</f>
        <v>3.4596387265994899E-3</v>
      </c>
      <c r="U202" s="11">
        <f>[1]world_population_Raw_Data!H195</f>
        <v>112106</v>
      </c>
      <c r="V202" s="18">
        <f t="shared" ref="V202:V239" si="70">(U202-R202)/R202</f>
        <v>2.4154501105406442E-2</v>
      </c>
      <c r="W202" s="39">
        <f t="shared" ref="W202:W239" si="71">(U202/R202)^(1/5)-1</f>
        <v>4.7848902452762854E-3</v>
      </c>
      <c r="X202" s="11">
        <f>[1]world_population_Raw_Data!G195</f>
        <v>114164</v>
      </c>
      <c r="Y202" s="18">
        <f t="shared" si="58"/>
        <v>1.835762581842185E-2</v>
      </c>
      <c r="Z202" s="39">
        <f t="shared" ref="Z202:Z239" si="72">(X202/U202)^(1/2)-1</f>
        <v>9.1370698861585886E-3</v>
      </c>
      <c r="AA202" s="19">
        <f t="shared" si="59"/>
        <v>1.4318092036773621E-5</v>
      </c>
      <c r="AB202" s="45">
        <f t="shared" ref="AB202:AB239" si="73">(X202/E202)^(1/52)-1</f>
        <v>1.2778748174044896E-2</v>
      </c>
      <c r="AC202" s="81">
        <f>X202*(1+AB202)^8</f>
        <v>126370.532133024</v>
      </c>
      <c r="AD202" s="81"/>
    </row>
    <row r="203" spans="2:30">
      <c r="B203" s="8">
        <f>[1]world_population_Raw_Data!B196</f>
        <v>195</v>
      </c>
      <c r="C203" s="9" t="str">
        <f>[1]world_population_Raw_Data!D196</f>
        <v>Jersey</v>
      </c>
      <c r="D203" s="10" t="str">
        <f>[1]world_population_Raw_Data!F196</f>
        <v>Europe</v>
      </c>
      <c r="E203" s="11">
        <f>[1]world_population_Raw_Data!N196</f>
        <v>68347</v>
      </c>
      <c r="F203" s="11">
        <f>[1]world_population_Raw_Data!M196</f>
        <v>75124</v>
      </c>
      <c r="G203" s="18">
        <f t="shared" si="60"/>
        <v>9.9155778600377484E-2</v>
      </c>
      <c r="H203" s="39">
        <f t="shared" si="61"/>
        <v>1.0094990736265088</v>
      </c>
      <c r="I203" s="11">
        <f>[1]world_population_Raw_Data!L196</f>
        <v>82874</v>
      </c>
      <c r="J203" s="18">
        <f t="shared" si="62"/>
        <v>0.10316277088546935</v>
      </c>
      <c r="K203" s="39">
        <f t="shared" si="63"/>
        <v>1.0098664860092259</v>
      </c>
      <c r="L203" s="11">
        <f>[1]world_population_Raw_Data!K196</f>
        <v>86192</v>
      </c>
      <c r="M203" s="18">
        <f t="shared" si="64"/>
        <v>4.0036682192243649E-2</v>
      </c>
      <c r="N203" s="39">
        <f t="shared" si="65"/>
        <v>3.9333136407027069E-3</v>
      </c>
      <c r="O203" s="11">
        <f>[1]world_population_Raw_Data!J196</f>
        <v>96151</v>
      </c>
      <c r="P203" s="18">
        <f t="shared" si="66"/>
        <v>0.11554436606645628</v>
      </c>
      <c r="Q203" s="39">
        <f t="shared" si="67"/>
        <v>1.0994248040565369E-2</v>
      </c>
      <c r="R203" s="11">
        <f>[1]world_population_Raw_Data!I196</f>
        <v>100561</v>
      </c>
      <c r="S203" s="18">
        <f t="shared" si="68"/>
        <v>4.5865357614585392E-2</v>
      </c>
      <c r="T203" s="39">
        <f t="shared" si="69"/>
        <v>9.0092685733564881E-3</v>
      </c>
      <c r="U203" s="11">
        <f>[1]world_population_Raw_Data!H196</f>
        <v>108319</v>
      </c>
      <c r="V203" s="18">
        <f t="shared" si="70"/>
        <v>7.7147204184524809E-2</v>
      </c>
      <c r="W203" s="39">
        <f t="shared" si="71"/>
        <v>1.4974220586538411E-2</v>
      </c>
      <c r="X203" s="11">
        <f>[1]world_population_Raw_Data!G196</f>
        <v>110778</v>
      </c>
      <c r="Y203" s="18">
        <f t="shared" si="58"/>
        <v>2.2701465116923163E-2</v>
      </c>
      <c r="Z203" s="39">
        <f t="shared" si="72"/>
        <v>1.128703399031239E-2</v>
      </c>
      <c r="AA203" s="19">
        <f t="shared" si="59"/>
        <v>1.3893430500417892E-5</v>
      </c>
      <c r="AB203" s="45">
        <f t="shared" si="73"/>
        <v>9.330384706176531E-3</v>
      </c>
      <c r="AC203" s="81">
        <f t="shared" ref="AC203:AC218" si="74">X203*(1+AB203)^8</f>
        <v>119321.93816972879</v>
      </c>
      <c r="AD203" s="81"/>
    </row>
    <row r="204" spans="2:30">
      <c r="B204" s="8">
        <f>[1]world_population_Raw_Data!B197</f>
        <v>196</v>
      </c>
      <c r="C204" s="9" t="str">
        <f>[1]world_population_Raw_Data!D197</f>
        <v>Seychelles</v>
      </c>
      <c r="D204" s="10" t="str">
        <f>[1]world_population_Raw_Data!F197</f>
        <v>Africa</v>
      </c>
      <c r="E204" s="11">
        <f>[1]world_population_Raw_Data!N197</f>
        <v>54379</v>
      </c>
      <c r="F204" s="11">
        <f>[1]world_population_Raw_Data!M197</f>
        <v>65290</v>
      </c>
      <c r="G204" s="18">
        <f t="shared" si="60"/>
        <v>0.20064730870372754</v>
      </c>
      <c r="H204" s="39">
        <f t="shared" si="61"/>
        <v>1.0184542977149764</v>
      </c>
      <c r="I204" s="11">
        <f>[1]world_population_Raw_Data!L197</f>
        <v>71057</v>
      </c>
      <c r="J204" s="18">
        <f t="shared" si="62"/>
        <v>8.8328993720324711E-2</v>
      </c>
      <c r="K204" s="39">
        <f t="shared" si="63"/>
        <v>1.0085002725509711</v>
      </c>
      <c r="L204" s="11">
        <f>[1]world_population_Raw_Data!K197</f>
        <v>80060</v>
      </c>
      <c r="M204" s="18">
        <f t="shared" si="64"/>
        <v>0.12670109911760979</v>
      </c>
      <c r="N204" s="39">
        <f t="shared" si="65"/>
        <v>1.2000837233419492E-2</v>
      </c>
      <c r="O204" s="11">
        <f>[1]world_population_Raw_Data!J197</f>
        <v>92409</v>
      </c>
      <c r="P204" s="18">
        <f t="shared" si="66"/>
        <v>0.15424681488883338</v>
      </c>
      <c r="Q204" s="39">
        <f t="shared" si="67"/>
        <v>1.4448182702514467E-2</v>
      </c>
      <c r="R204" s="11">
        <f>[1]world_population_Raw_Data!I197</f>
        <v>99240</v>
      </c>
      <c r="S204" s="18">
        <f t="shared" si="68"/>
        <v>7.3921371295003729E-2</v>
      </c>
      <c r="T204" s="39">
        <f t="shared" si="69"/>
        <v>1.4365563493480282E-2</v>
      </c>
      <c r="U204" s="11">
        <f>[1]world_population_Raw_Data!H197</f>
        <v>105530</v>
      </c>
      <c r="V204" s="18">
        <f t="shared" si="70"/>
        <v>6.3381700927045551E-2</v>
      </c>
      <c r="W204" s="39">
        <f t="shared" si="71"/>
        <v>1.2366665338084504E-2</v>
      </c>
      <c r="X204" s="11">
        <f>[1]world_population_Raw_Data!G197</f>
        <v>107118</v>
      </c>
      <c r="Y204" s="18">
        <f t="shared" si="58"/>
        <v>1.5047853690893585E-2</v>
      </c>
      <c r="Z204" s="39">
        <f t="shared" si="72"/>
        <v>7.4958330886008007E-3</v>
      </c>
      <c r="AA204" s="19">
        <f t="shared" si="59"/>
        <v>1.343440474050591E-5</v>
      </c>
      <c r="AB204" s="45">
        <f t="shared" si="73"/>
        <v>1.3122916826820319E-2</v>
      </c>
      <c r="AC204" s="81">
        <f t="shared" si="74"/>
        <v>118893.89885318336</v>
      </c>
      <c r="AD204" s="81"/>
    </row>
    <row r="205" spans="2:30">
      <c r="B205" s="8">
        <f>[1]world_population_Raw_Data!B198</f>
        <v>197</v>
      </c>
      <c r="C205" s="9" t="str">
        <f>[1]world_population_Raw_Data!D198</f>
        <v>Tonga</v>
      </c>
      <c r="D205" s="10" t="str">
        <f>[1]world_population_Raw_Data!F198</f>
        <v>Oceania</v>
      </c>
      <c r="E205" s="11">
        <f>[1]world_population_Raw_Data!N198</f>
        <v>86484</v>
      </c>
      <c r="F205" s="11">
        <f>[1]world_population_Raw_Data!M198</f>
        <v>96708</v>
      </c>
      <c r="G205" s="18">
        <f t="shared" si="60"/>
        <v>0.11821839877896489</v>
      </c>
      <c r="H205" s="39">
        <f t="shared" si="61"/>
        <v>1.0112363289525339</v>
      </c>
      <c r="I205" s="11">
        <f>[1]world_population_Raw_Data!L198</f>
        <v>98727</v>
      </c>
      <c r="J205" s="18">
        <f t="shared" si="62"/>
        <v>2.087728005956074E-2</v>
      </c>
      <c r="K205" s="39">
        <f t="shared" si="63"/>
        <v>1.0020683697447055</v>
      </c>
      <c r="L205" s="11">
        <f>[1]world_population_Raw_Data!K198</f>
        <v>102603</v>
      </c>
      <c r="M205" s="18">
        <f t="shared" si="64"/>
        <v>3.9259776960709834E-2</v>
      </c>
      <c r="N205" s="39">
        <f t="shared" si="65"/>
        <v>3.8582948106831161E-3</v>
      </c>
      <c r="O205" s="11">
        <f>[1]world_population_Raw_Data!J198</f>
        <v>107383</v>
      </c>
      <c r="P205" s="18">
        <f t="shared" si="66"/>
        <v>4.6587331754432131E-2</v>
      </c>
      <c r="Q205" s="39">
        <f t="shared" si="67"/>
        <v>4.5638538719128263E-3</v>
      </c>
      <c r="R205" s="11">
        <f>[1]world_population_Raw_Data!I198</f>
        <v>106122</v>
      </c>
      <c r="S205" s="18">
        <f t="shared" si="68"/>
        <v>-1.1743013326131696E-2</v>
      </c>
      <c r="T205" s="39">
        <f t="shared" si="69"/>
        <v>-2.3597129073076317E-3</v>
      </c>
      <c r="U205" s="11">
        <f>[1]world_population_Raw_Data!H198</f>
        <v>105254</v>
      </c>
      <c r="V205" s="18">
        <f t="shared" si="70"/>
        <v>-8.179265373815043E-3</v>
      </c>
      <c r="W205" s="39">
        <f t="shared" si="71"/>
        <v>-1.6412315220576401E-3</v>
      </c>
      <c r="X205" s="11">
        <f>[1]world_population_Raw_Data!G198</f>
        <v>106858</v>
      </c>
      <c r="Y205" s="18">
        <f t="shared" si="58"/>
        <v>1.5239325821346458E-2</v>
      </c>
      <c r="Z205" s="39">
        <f t="shared" si="72"/>
        <v>7.5908523906647041E-3</v>
      </c>
      <c r="AA205" s="19">
        <f t="shared" si="59"/>
        <v>1.3401796353189759E-5</v>
      </c>
      <c r="AB205" s="45">
        <f t="shared" si="73"/>
        <v>4.0763902868361512E-3</v>
      </c>
      <c r="AC205" s="81">
        <f t="shared" si="74"/>
        <v>110392.88505747826</v>
      </c>
      <c r="AD205" s="81"/>
    </row>
    <row r="206" spans="2:30">
      <c r="B206" s="8">
        <f>[1]world_population_Raw_Data!B199</f>
        <v>198</v>
      </c>
      <c r="C206" s="9" t="str">
        <f>[1]world_population_Raw_Data!D199</f>
        <v>Aruba</v>
      </c>
      <c r="D206" s="10" t="str">
        <f>[1]world_population_Raw_Data!F199</f>
        <v>North America</v>
      </c>
      <c r="E206" s="11">
        <f>[1]world_population_Raw_Data!N199</f>
        <v>59106</v>
      </c>
      <c r="F206" s="11">
        <f>[1]world_population_Raw_Data!M199</f>
        <v>62267</v>
      </c>
      <c r="G206" s="18">
        <f t="shared" si="60"/>
        <v>5.3480188136568199E-2</v>
      </c>
      <c r="H206" s="39">
        <f t="shared" si="61"/>
        <v>1.005223510038961</v>
      </c>
      <c r="I206" s="11">
        <f>[1]world_population_Raw_Data!L199</f>
        <v>65712</v>
      </c>
      <c r="J206" s="18">
        <f t="shared" si="62"/>
        <v>5.5326256283424607E-2</v>
      </c>
      <c r="K206" s="39">
        <f t="shared" si="63"/>
        <v>1.0053995218338305</v>
      </c>
      <c r="L206" s="11">
        <f>[1]world_population_Raw_Data!K199</f>
        <v>89101</v>
      </c>
      <c r="M206" s="18">
        <f t="shared" si="64"/>
        <v>0.3559319454589725</v>
      </c>
      <c r="N206" s="39">
        <f t="shared" si="65"/>
        <v>3.0917208889511771E-2</v>
      </c>
      <c r="O206" s="11">
        <f>[1]world_population_Raw_Data!J199</f>
        <v>100341</v>
      </c>
      <c r="P206" s="18">
        <f t="shared" si="66"/>
        <v>0.1261489770036251</v>
      </c>
      <c r="Q206" s="39">
        <f t="shared" si="67"/>
        <v>1.1951234788472043E-2</v>
      </c>
      <c r="R206" s="11">
        <f>[1]world_population_Raw_Data!I199</f>
        <v>104257</v>
      </c>
      <c r="S206" s="18">
        <f t="shared" si="68"/>
        <v>3.9026918208907628E-2</v>
      </c>
      <c r="T206" s="39">
        <f t="shared" si="69"/>
        <v>7.6863131215547664E-3</v>
      </c>
      <c r="U206" s="11">
        <f>[1]world_population_Raw_Data!H199</f>
        <v>106585</v>
      </c>
      <c r="V206" s="18">
        <f t="shared" si="70"/>
        <v>2.2329435913176095E-2</v>
      </c>
      <c r="W206" s="39">
        <f t="shared" si="71"/>
        <v>4.4265250819972568E-3</v>
      </c>
      <c r="X206" s="11">
        <f>[1]world_population_Raw_Data!G199</f>
        <v>106445</v>
      </c>
      <c r="Y206" s="18">
        <f t="shared" si="58"/>
        <v>-1.3135056527653986E-3</v>
      </c>
      <c r="Z206" s="39">
        <f t="shared" si="72"/>
        <v>-6.5696863027331354E-4</v>
      </c>
      <c r="AA206" s="19">
        <f t="shared" si="59"/>
        <v>1.3349999184106795E-5</v>
      </c>
      <c r="AB206" s="45">
        <f t="shared" si="73"/>
        <v>1.1377622540417409E-2</v>
      </c>
      <c r="AC206" s="81">
        <f t="shared" si="74"/>
        <v>116528.455141599</v>
      </c>
      <c r="AD206" s="81"/>
    </row>
    <row r="207" spans="2:30">
      <c r="B207" s="8">
        <f>[1]world_population_Raw_Data!B200</f>
        <v>199</v>
      </c>
      <c r="C207" s="9" t="str">
        <f>[1]world_population_Raw_Data!D200</f>
        <v>Saint Vincent and the Grenadines</v>
      </c>
      <c r="D207" s="10" t="str">
        <f>[1]world_population_Raw_Data!F200</f>
        <v>North America</v>
      </c>
      <c r="E207" s="11">
        <f>[1]world_population_Raw_Data!N200</f>
        <v>98459</v>
      </c>
      <c r="F207" s="11">
        <f>[1]world_population_Raw_Data!M200</f>
        <v>107480</v>
      </c>
      <c r="G207" s="18">
        <f t="shared" si="60"/>
        <v>9.1621893376938629E-2</v>
      </c>
      <c r="H207" s="39">
        <f t="shared" si="61"/>
        <v>1.0088049944996302</v>
      </c>
      <c r="I207" s="11">
        <f>[1]world_population_Raw_Data!L200</f>
        <v>112487</v>
      </c>
      <c r="J207" s="18">
        <f t="shared" si="62"/>
        <v>4.6585411239300337E-2</v>
      </c>
      <c r="K207" s="39">
        <f t="shared" si="63"/>
        <v>1.0045636695316655</v>
      </c>
      <c r="L207" s="11">
        <f>[1]world_population_Raw_Data!K200</f>
        <v>113813</v>
      </c>
      <c r="M207" s="18">
        <f t="shared" si="64"/>
        <v>1.178802883888805E-2</v>
      </c>
      <c r="N207" s="39">
        <f t="shared" si="65"/>
        <v>1.1725960795092583E-3</v>
      </c>
      <c r="O207" s="11">
        <f>[1]world_population_Raw_Data!J200</f>
        <v>109308</v>
      </c>
      <c r="P207" s="18">
        <f t="shared" si="66"/>
        <v>-3.9582473003962643E-2</v>
      </c>
      <c r="Q207" s="39">
        <f t="shared" si="67"/>
        <v>-4.0305718646040933E-3</v>
      </c>
      <c r="R207" s="11">
        <f>[1]world_population_Raw_Data!I200</f>
        <v>106482</v>
      </c>
      <c r="S207" s="18">
        <f t="shared" si="68"/>
        <v>-2.585355143264903E-2</v>
      </c>
      <c r="T207" s="39">
        <f t="shared" si="69"/>
        <v>-5.2250275610727925E-3</v>
      </c>
      <c r="U207" s="11">
        <f>[1]world_population_Raw_Data!H200</f>
        <v>104632</v>
      </c>
      <c r="V207" s="18">
        <f t="shared" si="70"/>
        <v>-1.7373828440487595E-2</v>
      </c>
      <c r="W207" s="39">
        <f t="shared" si="71"/>
        <v>-3.499168509528694E-3</v>
      </c>
      <c r="X207" s="11">
        <f>[1]world_population_Raw_Data!G200</f>
        <v>103948</v>
      </c>
      <c r="Y207" s="18">
        <f t="shared" si="58"/>
        <v>-6.5371970334123404E-3</v>
      </c>
      <c r="Z207" s="39">
        <f t="shared" si="72"/>
        <v>-3.2739579169270838E-3</v>
      </c>
      <c r="AA207" s="19">
        <f t="shared" si="59"/>
        <v>1.3036833248997446E-5</v>
      </c>
      <c r="AB207" s="45">
        <f t="shared" si="73"/>
        <v>1.0438243333077413E-3</v>
      </c>
      <c r="AC207" s="81">
        <f t="shared" si="74"/>
        <v>104819.20548267874</v>
      </c>
      <c r="AD207" s="81"/>
    </row>
    <row r="208" spans="2:30">
      <c r="B208" s="8">
        <f>[1]world_population_Raw_Data!B201</f>
        <v>200</v>
      </c>
      <c r="C208" s="9" t="str">
        <f>[1]world_population_Raw_Data!D201</f>
        <v>United States Virgin Islands</v>
      </c>
      <c r="D208" s="10" t="str">
        <f>[1]world_population_Raw_Data!F201</f>
        <v>North America</v>
      </c>
      <c r="E208" s="11">
        <f>[1]world_population_Raw_Data!N201</f>
        <v>63446</v>
      </c>
      <c r="F208" s="11">
        <f>[1]world_population_Raw_Data!M201</f>
        <v>96640</v>
      </c>
      <c r="G208" s="18">
        <f t="shared" si="60"/>
        <v>0.5231850707688428</v>
      </c>
      <c r="H208" s="39">
        <f t="shared" si="61"/>
        <v>1.0429782874266631</v>
      </c>
      <c r="I208" s="11">
        <f>[1]world_population_Raw_Data!L201</f>
        <v>100685</v>
      </c>
      <c r="J208" s="18">
        <f t="shared" si="62"/>
        <v>4.1856374172185427E-2</v>
      </c>
      <c r="K208" s="39">
        <f t="shared" si="63"/>
        <v>1.004108827896365</v>
      </c>
      <c r="L208" s="11">
        <f>[1]world_population_Raw_Data!K201</f>
        <v>108185</v>
      </c>
      <c r="M208" s="18">
        <f t="shared" si="64"/>
        <v>7.4489745245071265E-2</v>
      </c>
      <c r="N208" s="39">
        <f t="shared" si="65"/>
        <v>7.2104604134175521E-3</v>
      </c>
      <c r="O208" s="11">
        <f>[1]world_population_Raw_Data!J201</f>
        <v>106142</v>
      </c>
      <c r="P208" s="18">
        <f t="shared" si="66"/>
        <v>-1.8884318528446641E-2</v>
      </c>
      <c r="Q208" s="39">
        <f t="shared" si="67"/>
        <v>-1.9046742394440708E-3</v>
      </c>
      <c r="R208" s="11">
        <f>[1]world_population_Raw_Data!I201</f>
        <v>102803</v>
      </c>
      <c r="S208" s="18">
        <f t="shared" si="68"/>
        <v>-3.1457858340713386E-2</v>
      </c>
      <c r="T208" s="39">
        <f t="shared" si="69"/>
        <v>-6.3722673964903276E-3</v>
      </c>
      <c r="U208" s="11">
        <f>[1]world_population_Raw_Data!H201</f>
        <v>100442</v>
      </c>
      <c r="V208" s="18">
        <f t="shared" si="70"/>
        <v>-2.296625584856473E-2</v>
      </c>
      <c r="W208" s="39">
        <f t="shared" si="71"/>
        <v>-4.6360380454151251E-3</v>
      </c>
      <c r="X208" s="11">
        <f>[1]world_population_Raw_Data!G201</f>
        <v>99465</v>
      </c>
      <c r="Y208" s="18">
        <f t="shared" si="58"/>
        <v>-9.7270066306923402E-3</v>
      </c>
      <c r="Z208" s="39">
        <f t="shared" si="72"/>
        <v>-4.8753880195165911E-3</v>
      </c>
      <c r="AA208" s="19">
        <f t="shared" si="59"/>
        <v>1.2474589401542415E-5</v>
      </c>
      <c r="AB208" s="45">
        <f t="shared" si="73"/>
        <v>8.6839632133663969E-3</v>
      </c>
      <c r="AC208" s="81">
        <f t="shared" si="74"/>
        <v>106588.71246948667</v>
      </c>
      <c r="AD208" s="81"/>
    </row>
    <row r="209" spans="2:30">
      <c r="B209" s="8">
        <f>[1]world_population_Raw_Data!B202</f>
        <v>201</v>
      </c>
      <c r="C209" s="9" t="str">
        <f>[1]world_population_Raw_Data!D202</f>
        <v>Antigua and Barbuda</v>
      </c>
      <c r="D209" s="10" t="str">
        <f>[1]world_population_Raw_Data!F202</f>
        <v>North America</v>
      </c>
      <c r="E209" s="11">
        <f>[1]world_population_Raw_Data!N202</f>
        <v>64516</v>
      </c>
      <c r="F209" s="11">
        <f>[1]world_population_Raw_Data!M202</f>
        <v>64888</v>
      </c>
      <c r="G209" s="18">
        <f t="shared" si="60"/>
        <v>5.7660115320230642E-3</v>
      </c>
      <c r="H209" s="39">
        <f t="shared" si="61"/>
        <v>1.0005751104839662</v>
      </c>
      <c r="I209" s="11">
        <f>[1]world_population_Raw_Data!L202</f>
        <v>63328</v>
      </c>
      <c r="J209" s="18">
        <f t="shared" si="62"/>
        <v>-2.4041425225003084E-2</v>
      </c>
      <c r="K209" s="39">
        <f t="shared" si="63"/>
        <v>0.99756944485934673</v>
      </c>
      <c r="L209" s="11">
        <f>[1]world_population_Raw_Data!K202</f>
        <v>75055</v>
      </c>
      <c r="M209" s="18">
        <f t="shared" si="64"/>
        <v>0.18517875189489641</v>
      </c>
      <c r="N209" s="39">
        <f t="shared" si="65"/>
        <v>1.7134500840678024E-2</v>
      </c>
      <c r="O209" s="11">
        <f>[1]world_population_Raw_Data!J202</f>
        <v>85695</v>
      </c>
      <c r="P209" s="18">
        <f t="shared" si="66"/>
        <v>0.14176270734794483</v>
      </c>
      <c r="Q209" s="39">
        <f t="shared" si="67"/>
        <v>1.3345598311086393E-2</v>
      </c>
      <c r="R209" s="11">
        <f>[1]world_population_Raw_Data!I202</f>
        <v>89941</v>
      </c>
      <c r="S209" s="18">
        <f t="shared" si="68"/>
        <v>4.9547814925024795E-2</v>
      </c>
      <c r="T209" s="39">
        <f t="shared" si="69"/>
        <v>9.718807618567693E-3</v>
      </c>
      <c r="U209" s="11">
        <f>[1]world_population_Raw_Data!H202</f>
        <v>92664</v>
      </c>
      <c r="V209" s="18">
        <f t="shared" si="70"/>
        <v>3.02754027640342E-2</v>
      </c>
      <c r="W209" s="39">
        <f t="shared" si="71"/>
        <v>5.9830569776235798E-3</v>
      </c>
      <c r="X209" s="11">
        <f>[1]world_population_Raw_Data!G202</f>
        <v>93763</v>
      </c>
      <c r="Y209" s="18">
        <f t="shared" si="58"/>
        <v>1.1860053526720194E-2</v>
      </c>
      <c r="Z209" s="39">
        <f t="shared" si="72"/>
        <v>5.9125476534827026E-3</v>
      </c>
      <c r="AA209" s="19">
        <f t="shared" si="59"/>
        <v>1.175946238432435E-5</v>
      </c>
      <c r="AB209" s="45">
        <f t="shared" si="73"/>
        <v>7.2154659062593218E-3</v>
      </c>
      <c r="AC209" s="81">
        <f t="shared" si="74"/>
        <v>99314.024401949122</v>
      </c>
      <c r="AD209" s="81"/>
    </row>
    <row r="210" spans="2:30">
      <c r="B210" s="8">
        <f>[1]world_population_Raw_Data!B203</f>
        <v>202</v>
      </c>
      <c r="C210" s="9" t="str">
        <f>[1]world_population_Raw_Data!D203</f>
        <v>Isle of Man</v>
      </c>
      <c r="D210" s="10" t="str">
        <f>[1]world_population_Raw_Data!F203</f>
        <v>Europe</v>
      </c>
      <c r="E210" s="11">
        <f>[1]world_population_Raw_Data!N203</f>
        <v>55298</v>
      </c>
      <c r="F210" s="11">
        <f>[1]world_population_Raw_Data!M203</f>
        <v>64022</v>
      </c>
      <c r="G210" s="18">
        <f t="shared" si="60"/>
        <v>0.15776339108105175</v>
      </c>
      <c r="H210" s="39">
        <f t="shared" si="61"/>
        <v>1.0147568257807904</v>
      </c>
      <c r="I210" s="11">
        <f>[1]world_population_Raw_Data!L203</f>
        <v>68865</v>
      </c>
      <c r="J210" s="18">
        <f t="shared" si="62"/>
        <v>7.5645871731592262E-2</v>
      </c>
      <c r="K210" s="39">
        <f t="shared" si="63"/>
        <v>1.0073187815266675</v>
      </c>
      <c r="L210" s="11">
        <f>[1]world_population_Raw_Data!K203</f>
        <v>75562</v>
      </c>
      <c r="M210" s="18">
        <f t="shared" si="64"/>
        <v>9.7248239308792561E-2</v>
      </c>
      <c r="N210" s="39">
        <f t="shared" si="65"/>
        <v>9.3237422771204059E-3</v>
      </c>
      <c r="O210" s="11">
        <f>[1]world_population_Raw_Data!J203</f>
        <v>83828</v>
      </c>
      <c r="P210" s="18">
        <f t="shared" si="66"/>
        <v>0.10939361054498292</v>
      </c>
      <c r="Q210" s="39">
        <f t="shared" si="67"/>
        <v>1.0435430166024551E-2</v>
      </c>
      <c r="R210" s="11">
        <f>[1]world_population_Raw_Data!I203</f>
        <v>83593</v>
      </c>
      <c r="S210" s="18">
        <f t="shared" si="68"/>
        <v>-2.8033592594359879E-3</v>
      </c>
      <c r="T210" s="39">
        <f t="shared" si="69"/>
        <v>-5.6130161731082762E-4</v>
      </c>
      <c r="U210" s="11">
        <f>[1]world_population_Raw_Data!H203</f>
        <v>84046</v>
      </c>
      <c r="V210" s="18">
        <f t="shared" si="70"/>
        <v>5.4191140406493364E-3</v>
      </c>
      <c r="W210" s="39">
        <f t="shared" si="71"/>
        <v>1.0814810743300374E-3</v>
      </c>
      <c r="X210" s="11">
        <f>[1]world_population_Raw_Data!G203</f>
        <v>84519</v>
      </c>
      <c r="Y210" s="18">
        <f t="shared" si="58"/>
        <v>5.627870451895391E-3</v>
      </c>
      <c r="Z210" s="39">
        <f t="shared" si="72"/>
        <v>2.8099872118823033E-3</v>
      </c>
      <c r="AA210" s="19">
        <f t="shared" si="59"/>
        <v>1.0600108798360864E-5</v>
      </c>
      <c r="AB210" s="45">
        <f t="shared" si="73"/>
        <v>8.1918251015549171E-3</v>
      </c>
      <c r="AC210" s="81">
        <f t="shared" si="74"/>
        <v>90219.356099515091</v>
      </c>
      <c r="AD210" s="81"/>
    </row>
    <row r="211" spans="2:30">
      <c r="B211" s="8">
        <f>[1]world_population_Raw_Data!B204</f>
        <v>203</v>
      </c>
      <c r="C211" s="9" t="str">
        <f>[1]world_population_Raw_Data!D204</f>
        <v>Andorra</v>
      </c>
      <c r="D211" s="10" t="str">
        <f>[1]world_population_Raw_Data!F204</f>
        <v>Europe</v>
      </c>
      <c r="E211" s="11">
        <f>[1]world_population_Raw_Data!N204</f>
        <v>19860</v>
      </c>
      <c r="F211" s="11">
        <f>[1]world_population_Raw_Data!M204</f>
        <v>35611</v>
      </c>
      <c r="G211" s="18">
        <f t="shared" si="60"/>
        <v>0.79310171198388724</v>
      </c>
      <c r="H211" s="39">
        <f t="shared" si="61"/>
        <v>1.0601333393238277</v>
      </c>
      <c r="I211" s="11">
        <f>[1]world_population_Raw_Data!L204</f>
        <v>53569</v>
      </c>
      <c r="J211" s="18">
        <f t="shared" si="62"/>
        <v>0.50428238465642639</v>
      </c>
      <c r="K211" s="39">
        <f t="shared" si="63"/>
        <v>1.041676668637268</v>
      </c>
      <c r="L211" s="11">
        <f>[1]world_population_Raw_Data!K204</f>
        <v>66097</v>
      </c>
      <c r="M211" s="18">
        <f t="shared" si="64"/>
        <v>0.23386660195262185</v>
      </c>
      <c r="N211" s="39">
        <f t="shared" si="65"/>
        <v>2.1237657816286282E-2</v>
      </c>
      <c r="O211" s="11">
        <f>[1]world_population_Raw_Data!J204</f>
        <v>71519</v>
      </c>
      <c r="P211" s="18">
        <f t="shared" si="66"/>
        <v>8.2030954506255957E-2</v>
      </c>
      <c r="Q211" s="39">
        <f t="shared" si="67"/>
        <v>7.9151392584237978E-3</v>
      </c>
      <c r="R211" s="11">
        <f>[1]world_population_Raw_Data!I204</f>
        <v>71746</v>
      </c>
      <c r="S211" s="18">
        <f t="shared" si="68"/>
        <v>3.1739817391182763E-3</v>
      </c>
      <c r="T211" s="39">
        <f t="shared" si="69"/>
        <v>6.3399194642510537E-4</v>
      </c>
      <c r="U211" s="11">
        <f>[1]world_population_Raw_Data!H204</f>
        <v>77700</v>
      </c>
      <c r="V211" s="18">
        <f t="shared" si="70"/>
        <v>8.2987204861595068E-2</v>
      </c>
      <c r="W211" s="39">
        <f t="shared" si="71"/>
        <v>1.6072424612747271E-2</v>
      </c>
      <c r="X211" s="11">
        <f>[1]world_population_Raw_Data!G204</f>
        <v>79824</v>
      </c>
      <c r="Y211" s="18">
        <f t="shared" si="58"/>
        <v>2.7335907335907336E-2</v>
      </c>
      <c r="Z211" s="39">
        <f t="shared" si="72"/>
        <v>1.357580246171386E-2</v>
      </c>
      <c r="AA211" s="19">
        <f t="shared" si="59"/>
        <v>1.0011276573555741E-5</v>
      </c>
      <c r="AB211" s="45">
        <f t="shared" si="73"/>
        <v>2.7113295078633692E-2</v>
      </c>
      <c r="AC211" s="81">
        <f t="shared" si="74"/>
        <v>98873.5876978749</v>
      </c>
      <c r="AD211" s="81"/>
    </row>
    <row r="212" spans="2:30">
      <c r="B212" s="8">
        <f>[1]world_population_Raw_Data!B205</f>
        <v>204</v>
      </c>
      <c r="C212" s="9" t="str">
        <f>[1]world_population_Raw_Data!D205</f>
        <v>Dominica</v>
      </c>
      <c r="D212" s="10" t="str">
        <f>[1]world_population_Raw_Data!F205</f>
        <v>North America</v>
      </c>
      <c r="E212" s="11">
        <f>[1]world_population_Raw_Data!N205</f>
        <v>68895</v>
      </c>
      <c r="F212" s="11">
        <f>[1]world_population_Raw_Data!M205</f>
        <v>72978</v>
      </c>
      <c r="G212" s="18">
        <f t="shared" si="60"/>
        <v>5.9264097539734377E-2</v>
      </c>
      <c r="H212" s="39">
        <f t="shared" si="61"/>
        <v>1.0057740478646215</v>
      </c>
      <c r="I212" s="11">
        <f>[1]world_population_Raw_Data!L205</f>
        <v>69481</v>
      </c>
      <c r="J212" s="18">
        <f t="shared" si="62"/>
        <v>-4.7918550796130339E-2</v>
      </c>
      <c r="K212" s="39">
        <f t="shared" si="63"/>
        <v>0.99510156744754352</v>
      </c>
      <c r="L212" s="11">
        <f>[1]world_population_Raw_Data!K205</f>
        <v>68346</v>
      </c>
      <c r="M212" s="18">
        <f t="shared" si="64"/>
        <v>-1.633540104488997E-2</v>
      </c>
      <c r="N212" s="39">
        <f t="shared" si="65"/>
        <v>-1.6456738667455229E-3</v>
      </c>
      <c r="O212" s="11">
        <f>[1]world_population_Raw_Data!J205</f>
        <v>68755</v>
      </c>
      <c r="P212" s="18">
        <f t="shared" si="66"/>
        <v>5.9842565768296607E-3</v>
      </c>
      <c r="Q212" s="39">
        <f t="shared" si="67"/>
        <v>5.9682022927121103E-4</v>
      </c>
      <c r="R212" s="11">
        <f>[1]world_population_Raw_Data!I205</f>
        <v>70007</v>
      </c>
      <c r="S212" s="18">
        <f t="shared" si="68"/>
        <v>1.8209584757472183E-2</v>
      </c>
      <c r="T212" s="39">
        <f t="shared" si="69"/>
        <v>3.6156760180467984E-3</v>
      </c>
      <c r="U212" s="11">
        <f>[1]world_population_Raw_Data!H205</f>
        <v>71995</v>
      </c>
      <c r="V212" s="18">
        <f t="shared" si="70"/>
        <v>2.8397160283971604E-2</v>
      </c>
      <c r="W212" s="39">
        <f t="shared" si="71"/>
        <v>5.6159979443388686E-3</v>
      </c>
      <c r="X212" s="11">
        <f>[1]world_population_Raw_Data!G205</f>
        <v>72737</v>
      </c>
      <c r="Y212" s="18">
        <f t="shared" si="58"/>
        <v>1.0306271268838114E-2</v>
      </c>
      <c r="Z212" s="39">
        <f t="shared" si="72"/>
        <v>5.1399262136779811E-3</v>
      </c>
      <c r="AA212" s="19">
        <f t="shared" si="59"/>
        <v>9.1224471854420221E-6</v>
      </c>
      <c r="AB212" s="45">
        <f t="shared" si="73"/>
        <v>1.0441329869312899E-3</v>
      </c>
      <c r="AC212" s="81">
        <f t="shared" si="74"/>
        <v>73346.801819797736</v>
      </c>
      <c r="AD212" s="81"/>
    </row>
    <row r="213" spans="2:30">
      <c r="B213" s="8">
        <f>[1]world_population_Raw_Data!B206</f>
        <v>205</v>
      </c>
      <c r="C213" s="9" t="str">
        <f>[1]world_population_Raw_Data!D206</f>
        <v>Cayman Islands</v>
      </c>
      <c r="D213" s="10" t="str">
        <f>[1]world_population_Raw_Data!F206</f>
        <v>North America</v>
      </c>
      <c r="E213" s="11">
        <f>[1]world_population_Raw_Data!N206</f>
        <v>10533</v>
      </c>
      <c r="F213" s="11">
        <f>[1]world_population_Raw_Data!M206</f>
        <v>17100</v>
      </c>
      <c r="G213" s="18">
        <f t="shared" si="60"/>
        <v>0.62346909712332665</v>
      </c>
      <c r="H213" s="39">
        <f t="shared" si="61"/>
        <v>1.0496497402087461</v>
      </c>
      <c r="I213" s="11">
        <f>[1]world_population_Raw_Data!L206</f>
        <v>26027</v>
      </c>
      <c r="J213" s="18">
        <f t="shared" si="62"/>
        <v>0.52204678362573098</v>
      </c>
      <c r="K213" s="39">
        <f t="shared" si="63"/>
        <v>1.042900318686599</v>
      </c>
      <c r="L213" s="11">
        <f>[1]world_population_Raw_Data!K206</f>
        <v>39658</v>
      </c>
      <c r="M213" s="18">
        <f t="shared" si="64"/>
        <v>0.52372536212394816</v>
      </c>
      <c r="N213" s="39">
        <f t="shared" si="65"/>
        <v>4.301527716844511E-2</v>
      </c>
      <c r="O213" s="11">
        <f>[1]world_population_Raw_Data!J206</f>
        <v>54074</v>
      </c>
      <c r="P213" s="18">
        <f t="shared" si="66"/>
        <v>0.36350799334308337</v>
      </c>
      <c r="Q213" s="39">
        <f t="shared" si="67"/>
        <v>3.1491773858033145E-2</v>
      </c>
      <c r="R213" s="11">
        <f>[1]world_population_Raw_Data!I206</f>
        <v>60911</v>
      </c>
      <c r="S213" s="18">
        <f t="shared" si="68"/>
        <v>0.12643784443540335</v>
      </c>
      <c r="T213" s="39">
        <f t="shared" si="69"/>
        <v>2.4097831582921669E-2</v>
      </c>
      <c r="U213" s="11">
        <f>[1]world_population_Raw_Data!H206</f>
        <v>67311</v>
      </c>
      <c r="V213" s="18">
        <f t="shared" si="70"/>
        <v>0.10507133358506673</v>
      </c>
      <c r="W213" s="39">
        <f t="shared" si="71"/>
        <v>2.0182953749825039E-2</v>
      </c>
      <c r="X213" s="11">
        <f>[1]world_population_Raw_Data!G206</f>
        <v>68706</v>
      </c>
      <c r="Y213" s="18">
        <f t="shared" si="58"/>
        <v>2.0724695814948523E-2</v>
      </c>
      <c r="Z213" s="39">
        <f t="shared" si="72"/>
        <v>1.0309208022449168E-2</v>
      </c>
      <c r="AA213" s="19">
        <f t="shared" si="59"/>
        <v>8.6168917651673764E-6</v>
      </c>
      <c r="AB213" s="45">
        <f t="shared" si="73"/>
        <v>3.6722101797692641E-2</v>
      </c>
      <c r="AC213" s="81">
        <f t="shared" si="74"/>
        <v>91683.993911918005</v>
      </c>
      <c r="AD213" s="81"/>
    </row>
    <row r="214" spans="2:30">
      <c r="B214" s="8">
        <f>[1]world_population_Raw_Data!B207</f>
        <v>206</v>
      </c>
      <c r="C214" s="9" t="str">
        <f>[1]world_population_Raw_Data!D207</f>
        <v>Bermuda</v>
      </c>
      <c r="D214" s="10" t="str">
        <f>[1]world_population_Raw_Data!F207</f>
        <v>North America</v>
      </c>
      <c r="E214" s="11">
        <f>[1]world_population_Raw_Data!N207</f>
        <v>52019</v>
      </c>
      <c r="F214" s="11">
        <f>[1]world_population_Raw_Data!M207</f>
        <v>53565</v>
      </c>
      <c r="G214" s="18">
        <f t="shared" si="60"/>
        <v>2.9719910032872603E-2</v>
      </c>
      <c r="H214" s="39">
        <f t="shared" si="61"/>
        <v>1.0029329761081622</v>
      </c>
      <c r="I214" s="11">
        <f>[1]world_population_Raw_Data!L207</f>
        <v>57470</v>
      </c>
      <c r="J214" s="18">
        <f t="shared" si="62"/>
        <v>7.2902081583123307E-2</v>
      </c>
      <c r="K214" s="39">
        <f t="shared" si="63"/>
        <v>1.0070615361700084</v>
      </c>
      <c r="L214" s="11">
        <f>[1]world_population_Raw_Data!K207</f>
        <v>61371</v>
      </c>
      <c r="M214" s="18">
        <f t="shared" si="64"/>
        <v>6.787889333565339E-2</v>
      </c>
      <c r="N214" s="39">
        <f t="shared" si="65"/>
        <v>6.5890467169178457E-3</v>
      </c>
      <c r="O214" s="11">
        <f>[1]world_population_Raw_Data!J207</f>
        <v>63447</v>
      </c>
      <c r="P214" s="18">
        <f t="shared" si="66"/>
        <v>3.3827051864887325E-2</v>
      </c>
      <c r="Q214" s="39">
        <f t="shared" si="67"/>
        <v>3.3322898589056571E-3</v>
      </c>
      <c r="R214" s="11">
        <f>[1]world_population_Raw_Data!I207</f>
        <v>63144</v>
      </c>
      <c r="S214" s="18">
        <f t="shared" si="68"/>
        <v>-4.7756395101423233E-3</v>
      </c>
      <c r="T214" s="39">
        <f t="shared" si="69"/>
        <v>-9.5695768619075139E-4</v>
      </c>
      <c r="U214" s="11">
        <f>[1]world_population_Raw_Data!H207</f>
        <v>64031</v>
      </c>
      <c r="V214" s="18">
        <f t="shared" si="70"/>
        <v>1.4047257063220575E-2</v>
      </c>
      <c r="W214" s="39">
        <f t="shared" si="71"/>
        <v>2.7937971339726531E-3</v>
      </c>
      <c r="X214" s="11">
        <f>[1]world_population_Raw_Data!G207</f>
        <v>64184</v>
      </c>
      <c r="Y214" s="18">
        <f t="shared" si="58"/>
        <v>2.3894676016304604E-3</v>
      </c>
      <c r="Z214" s="39">
        <f t="shared" si="72"/>
        <v>1.1940209577914196E-3</v>
      </c>
      <c r="AA214" s="19">
        <f t="shared" si="59"/>
        <v>8.0497566596149239E-6</v>
      </c>
      <c r="AB214" s="45">
        <f t="shared" si="73"/>
        <v>4.0494253557421533E-3</v>
      </c>
      <c r="AC214" s="81">
        <f t="shared" si="74"/>
        <v>66292.975837932274</v>
      </c>
      <c r="AD214" s="81"/>
    </row>
    <row r="215" spans="2:30">
      <c r="B215" s="8">
        <f>[1]world_population_Raw_Data!B208</f>
        <v>207</v>
      </c>
      <c r="C215" s="9" t="str">
        <f>[1]world_population_Raw_Data!D208</f>
        <v>Guernsey</v>
      </c>
      <c r="D215" s="10" t="str">
        <f>[1]world_population_Raw_Data!F208</f>
        <v>Europe</v>
      </c>
      <c r="E215" s="11">
        <f>[1]world_population_Raw_Data!N208</f>
        <v>52656</v>
      </c>
      <c r="F215" s="11">
        <f>[1]world_population_Raw_Data!M208</f>
        <v>52860</v>
      </c>
      <c r="G215" s="18">
        <f t="shared" si="60"/>
        <v>3.8742023701002735E-3</v>
      </c>
      <c r="H215" s="39">
        <f t="shared" si="61"/>
        <v>1.0003867464646532</v>
      </c>
      <c r="I215" s="11">
        <f>[1]world_population_Raw_Data!L208</f>
        <v>57727</v>
      </c>
      <c r="J215" s="18">
        <f t="shared" si="62"/>
        <v>9.2073401437760119E-2</v>
      </c>
      <c r="K215" s="39">
        <f t="shared" si="63"/>
        <v>1.0088467121341598</v>
      </c>
      <c r="L215" s="11">
        <f>[1]world_population_Raw_Data!K208</f>
        <v>59114</v>
      </c>
      <c r="M215" s="18">
        <f t="shared" si="64"/>
        <v>2.4026885166386614E-2</v>
      </c>
      <c r="N215" s="39">
        <f t="shared" si="65"/>
        <v>2.3770989621560989E-3</v>
      </c>
      <c r="O215" s="11">
        <f>[1]world_population_Raw_Data!J208</f>
        <v>60782</v>
      </c>
      <c r="P215" s="18">
        <f t="shared" si="66"/>
        <v>2.8216666102784449E-2</v>
      </c>
      <c r="Q215" s="39">
        <f t="shared" si="67"/>
        <v>2.7864659512122358E-3</v>
      </c>
      <c r="R215" s="11">
        <f>[1]world_population_Raw_Data!I208</f>
        <v>61629</v>
      </c>
      <c r="S215" s="18">
        <f t="shared" si="68"/>
        <v>1.3935046559836795E-2</v>
      </c>
      <c r="T215" s="39">
        <f t="shared" si="69"/>
        <v>2.7716031036846278E-3</v>
      </c>
      <c r="U215" s="11">
        <f>[1]world_population_Raw_Data!H208</f>
        <v>62794</v>
      </c>
      <c r="V215" s="18">
        <f t="shared" si="70"/>
        <v>1.890343831637703E-2</v>
      </c>
      <c r="W215" s="39">
        <f t="shared" si="71"/>
        <v>3.7524204729408872E-3</v>
      </c>
      <c r="X215" s="11">
        <f>[1]world_population_Raw_Data!G208</f>
        <v>63301</v>
      </c>
      <c r="Y215" s="18">
        <f t="shared" si="58"/>
        <v>8.0740198108099504E-3</v>
      </c>
      <c r="Z215" s="39">
        <f t="shared" si="72"/>
        <v>4.0288939123265255E-3</v>
      </c>
      <c r="AA215" s="19">
        <f t="shared" si="59"/>
        <v>7.9390135596143008E-6</v>
      </c>
      <c r="AB215" s="45">
        <f t="shared" si="73"/>
        <v>3.5470631962335464E-3</v>
      </c>
      <c r="AC215" s="81">
        <f t="shared" si="74"/>
        <v>65119.720163817357</v>
      </c>
      <c r="AD215" s="81"/>
    </row>
    <row r="216" spans="2:30">
      <c r="B216" s="8">
        <f>[1]world_population_Raw_Data!B209</f>
        <v>208</v>
      </c>
      <c r="C216" s="9" t="str">
        <f>[1]world_population_Raw_Data!D209</f>
        <v>Greenland</v>
      </c>
      <c r="D216" s="10" t="str">
        <f>[1]world_population_Raw_Data!F209</f>
        <v>North America</v>
      </c>
      <c r="E216" s="11">
        <f>[1]world_population_Raw_Data!N209</f>
        <v>45434</v>
      </c>
      <c r="F216" s="11">
        <f>[1]world_population_Raw_Data!M209</f>
        <v>50106</v>
      </c>
      <c r="G216" s="18">
        <f t="shared" si="60"/>
        <v>0.10283047937667826</v>
      </c>
      <c r="H216" s="39">
        <f t="shared" si="61"/>
        <v>1.0098360629781373</v>
      </c>
      <c r="I216" s="11">
        <f>[1]world_population_Raw_Data!L209</f>
        <v>55599</v>
      </c>
      <c r="J216" s="18">
        <f t="shared" si="62"/>
        <v>0.10962758951023829</v>
      </c>
      <c r="K216" s="39">
        <f t="shared" si="63"/>
        <v>1.0104567389421797</v>
      </c>
      <c r="L216" s="11">
        <f>[1]world_population_Raw_Data!K209</f>
        <v>56184</v>
      </c>
      <c r="M216" s="18">
        <f t="shared" si="64"/>
        <v>1.0521771974316085E-2</v>
      </c>
      <c r="N216" s="39">
        <f t="shared" si="65"/>
        <v>1.0472282983713388E-3</v>
      </c>
      <c r="O216" s="11">
        <f>[1]world_population_Raw_Data!J209</f>
        <v>56351</v>
      </c>
      <c r="P216" s="18">
        <f t="shared" si="66"/>
        <v>2.9723764772889077E-3</v>
      </c>
      <c r="Q216" s="39">
        <f t="shared" si="67"/>
        <v>2.9684081857195288E-4</v>
      </c>
      <c r="R216" s="11">
        <f>[1]world_population_Raw_Data!I209</f>
        <v>55895</v>
      </c>
      <c r="S216" s="18">
        <f t="shared" si="68"/>
        <v>-8.0921367855051381E-3</v>
      </c>
      <c r="T216" s="39">
        <f t="shared" si="69"/>
        <v>-1.6236915512392036E-3</v>
      </c>
      <c r="U216" s="11">
        <f>[1]world_population_Raw_Data!H209</f>
        <v>56026</v>
      </c>
      <c r="V216" s="18">
        <f t="shared" si="70"/>
        <v>2.3436801145004025E-3</v>
      </c>
      <c r="W216" s="39">
        <f t="shared" si="71"/>
        <v>4.6829721289554094E-4</v>
      </c>
      <c r="X216" s="11">
        <f>[1]world_population_Raw_Data!G209</f>
        <v>56466</v>
      </c>
      <c r="Y216" s="18">
        <f t="shared" si="58"/>
        <v>7.8534965908685257E-3</v>
      </c>
      <c r="Z216" s="39">
        <f t="shared" si="72"/>
        <v>3.9190687455181727E-3</v>
      </c>
      <c r="AA216" s="19">
        <f t="shared" si="59"/>
        <v>7.0817892238223903E-6</v>
      </c>
      <c r="AB216" s="45">
        <f t="shared" si="73"/>
        <v>4.1890952873244736E-3</v>
      </c>
      <c r="AC216" s="81">
        <f t="shared" si="74"/>
        <v>58386.310361963493</v>
      </c>
      <c r="AD216" s="81"/>
    </row>
    <row r="217" spans="2:30">
      <c r="B217" s="8">
        <f>[1]world_population_Raw_Data!B210</f>
        <v>209</v>
      </c>
      <c r="C217" s="9" t="str">
        <f>[1]world_population_Raw_Data!D210</f>
        <v>Faroe Islands</v>
      </c>
      <c r="D217" s="10" t="str">
        <f>[1]world_population_Raw_Data!F210</f>
        <v>Europe</v>
      </c>
      <c r="E217" s="11">
        <f>[1]world_population_Raw_Data!N210</f>
        <v>38416</v>
      </c>
      <c r="F217" s="11">
        <f>[1]world_population_Raw_Data!M210</f>
        <v>43054</v>
      </c>
      <c r="G217" s="18">
        <f t="shared" si="60"/>
        <v>0.12073094543940024</v>
      </c>
      <c r="H217" s="39">
        <f t="shared" si="61"/>
        <v>1.011463316193832</v>
      </c>
      <c r="I217" s="11">
        <f>[1]world_population_Raw_Data!L210</f>
        <v>47479</v>
      </c>
      <c r="J217" s="18">
        <f t="shared" si="62"/>
        <v>0.10277790681469783</v>
      </c>
      <c r="K217" s="39">
        <f t="shared" si="63"/>
        <v>1.0098312489283894</v>
      </c>
      <c r="L217" s="11">
        <f>[1]world_population_Raw_Data!K210</f>
        <v>45660</v>
      </c>
      <c r="M217" s="18">
        <f t="shared" si="64"/>
        <v>-3.8311674635101836E-2</v>
      </c>
      <c r="N217" s="39">
        <f t="shared" si="65"/>
        <v>-3.8988662989247747E-3</v>
      </c>
      <c r="O217" s="11">
        <f>[1]world_population_Raw_Data!J210</f>
        <v>48410</v>
      </c>
      <c r="P217" s="18">
        <f t="shared" si="66"/>
        <v>6.0227770477441961E-2</v>
      </c>
      <c r="Q217" s="39">
        <f t="shared" si="67"/>
        <v>5.8655114255443674E-3</v>
      </c>
      <c r="R217" s="11">
        <f>[1]world_population_Raw_Data!I210</f>
        <v>48816</v>
      </c>
      <c r="S217" s="18">
        <f t="shared" si="68"/>
        <v>8.3866969634373064E-3</v>
      </c>
      <c r="T217" s="39">
        <f t="shared" si="69"/>
        <v>1.6717406074744368E-3</v>
      </c>
      <c r="U217" s="11">
        <f>[1]world_population_Raw_Data!H210</f>
        <v>52415</v>
      </c>
      <c r="V217" s="18">
        <f t="shared" si="70"/>
        <v>7.3725827597509008E-2</v>
      </c>
      <c r="W217" s="39">
        <f t="shared" si="71"/>
        <v>1.4328620892930299E-2</v>
      </c>
      <c r="X217" s="11">
        <f>[1]world_population_Raw_Data!G210</f>
        <v>53090</v>
      </c>
      <c r="Y217" s="18">
        <f t="shared" si="58"/>
        <v>1.2877992940952017E-2</v>
      </c>
      <c r="Z217" s="39">
        <f t="shared" si="72"/>
        <v>6.4183985504995267E-3</v>
      </c>
      <c r="AA217" s="19">
        <f t="shared" si="59"/>
        <v>6.6583818562095897E-6</v>
      </c>
      <c r="AB217" s="45">
        <f t="shared" si="73"/>
        <v>6.240826913621822E-3</v>
      </c>
      <c r="AC217" s="81">
        <f t="shared" si="74"/>
        <v>55799.22918387274</v>
      </c>
      <c r="AD217" s="81"/>
    </row>
    <row r="218" spans="2:30">
      <c r="B218" s="8">
        <f>[1]world_population_Raw_Data!B211</f>
        <v>210</v>
      </c>
      <c r="C218" s="9" t="str">
        <f>[1]world_population_Raw_Data!D211</f>
        <v>Northern Mariana Islands</v>
      </c>
      <c r="D218" s="10" t="str">
        <f>[1]world_population_Raw_Data!F211</f>
        <v>Oceania</v>
      </c>
      <c r="E218" s="11">
        <f>[1]world_population_Raw_Data!N211</f>
        <v>10143</v>
      </c>
      <c r="F218" s="11">
        <f>[1]world_population_Raw_Data!M211</f>
        <v>17613</v>
      </c>
      <c r="G218" s="18">
        <f t="shared" si="60"/>
        <v>0.73646850044365575</v>
      </c>
      <c r="H218" s="39">
        <f t="shared" si="61"/>
        <v>1.0567364576990628</v>
      </c>
      <c r="I218" s="11">
        <f>[1]world_population_Raw_Data!L211</f>
        <v>48002</v>
      </c>
      <c r="J218" s="18">
        <f t="shared" si="62"/>
        <v>1.7253733038096861</v>
      </c>
      <c r="K218" s="39">
        <f t="shared" si="63"/>
        <v>1.1054588980311864</v>
      </c>
      <c r="L218" s="11">
        <f>[1]world_population_Raw_Data!K211</f>
        <v>80338</v>
      </c>
      <c r="M218" s="18">
        <f t="shared" si="64"/>
        <v>0.67363859839173368</v>
      </c>
      <c r="N218" s="39">
        <f t="shared" si="65"/>
        <v>5.2849192368662257E-2</v>
      </c>
      <c r="O218" s="11">
        <f>[1]world_population_Raw_Data!J211</f>
        <v>54087</v>
      </c>
      <c r="P218" s="18">
        <f t="shared" si="66"/>
        <v>-0.32675695187831411</v>
      </c>
      <c r="Q218" s="39">
        <f t="shared" si="67"/>
        <v>-3.8792418216278213E-2</v>
      </c>
      <c r="R218" s="11">
        <f>[1]world_population_Raw_Data!I211</f>
        <v>51514</v>
      </c>
      <c r="S218" s="18">
        <f t="shared" si="68"/>
        <v>-4.757150516760035E-2</v>
      </c>
      <c r="T218" s="39">
        <f t="shared" si="69"/>
        <v>-9.7006909453296597E-3</v>
      </c>
      <c r="U218" s="11">
        <f>[1]world_population_Raw_Data!H211</f>
        <v>49587</v>
      </c>
      <c r="V218" s="18">
        <f t="shared" si="70"/>
        <v>-3.7407306751562681E-2</v>
      </c>
      <c r="W218" s="39">
        <f t="shared" si="71"/>
        <v>-7.5959861231096326E-3</v>
      </c>
      <c r="X218" s="11">
        <f>[1]world_population_Raw_Data!G211</f>
        <v>49551</v>
      </c>
      <c r="Y218" s="18">
        <f t="shared" si="58"/>
        <v>-7.2599673301470147E-4</v>
      </c>
      <c r="Z218" s="39">
        <f t="shared" si="72"/>
        <v>-3.6306427434096289E-4</v>
      </c>
      <c r="AA218" s="19">
        <f t="shared" si="59"/>
        <v>6.2145315380870481E-6</v>
      </c>
      <c r="AB218" s="45">
        <f t="shared" si="73"/>
        <v>3.09742246877871E-2</v>
      </c>
      <c r="AC218" s="81">
        <f t="shared" si="74"/>
        <v>63246.265194944732</v>
      </c>
      <c r="AD218" s="81"/>
    </row>
    <row r="219" spans="2:30">
      <c r="B219" s="8">
        <f>[1]world_population_Raw_Data!B212</f>
        <v>211</v>
      </c>
      <c r="C219" s="9" t="str">
        <f>[1]world_population_Raw_Data!D212</f>
        <v>Saint Kitts and Nevis</v>
      </c>
      <c r="D219" s="10" t="str">
        <f>[1]world_population_Raw_Data!F212</f>
        <v>North America</v>
      </c>
      <c r="E219" s="11">
        <f>[1]world_population_Raw_Data!N212</f>
        <v>44968</v>
      </c>
      <c r="F219" s="11">
        <f>[1]world_population_Raw_Data!M212</f>
        <v>43097</v>
      </c>
      <c r="G219" s="18">
        <f t="shared" si="60"/>
        <v>-4.1607365237502227E-2</v>
      </c>
      <c r="H219" s="39">
        <f t="shared" si="61"/>
        <v>0.99575924385131553</v>
      </c>
      <c r="I219" s="11">
        <f>[1]world_population_Raw_Data!L212</f>
        <v>40636</v>
      </c>
      <c r="J219" s="18">
        <f t="shared" si="62"/>
        <v>-5.7103742719910901E-2</v>
      </c>
      <c r="K219" s="39">
        <f t="shared" si="63"/>
        <v>0.99413735120094526</v>
      </c>
      <c r="L219" s="11">
        <f>[1]world_population_Raw_Data!K212</f>
        <v>45461</v>
      </c>
      <c r="M219" s="18">
        <f t="shared" si="64"/>
        <v>0.11873708042130131</v>
      </c>
      <c r="N219" s="39">
        <f t="shared" si="65"/>
        <v>1.1283225003540176E-2</v>
      </c>
      <c r="O219" s="11">
        <f>[1]world_population_Raw_Data!J212</f>
        <v>47403</v>
      </c>
      <c r="P219" s="18">
        <f t="shared" si="66"/>
        <v>4.2717934053364423E-2</v>
      </c>
      <c r="Q219" s="39">
        <f t="shared" si="67"/>
        <v>4.1918314797908529E-3</v>
      </c>
      <c r="R219" s="11">
        <f>[1]world_population_Raw_Data!I212</f>
        <v>47790</v>
      </c>
      <c r="S219" s="18">
        <f t="shared" si="68"/>
        <v>8.1640402506170488E-3</v>
      </c>
      <c r="T219" s="39">
        <f t="shared" si="69"/>
        <v>1.6275018965270505E-3</v>
      </c>
      <c r="U219" s="11">
        <f>[1]world_population_Raw_Data!H212</f>
        <v>47642</v>
      </c>
      <c r="V219" s="18">
        <f t="shared" si="70"/>
        <v>-3.0968821929273907E-3</v>
      </c>
      <c r="W219" s="39">
        <f t="shared" si="71"/>
        <v>-6.2014512168651059E-4</v>
      </c>
      <c r="X219" s="11">
        <f>[1]world_population_Raw_Data!G212</f>
        <v>47657</v>
      </c>
      <c r="Y219" s="18">
        <f t="shared" si="58"/>
        <v>3.1484824314680326E-4</v>
      </c>
      <c r="Z219" s="39">
        <f t="shared" si="72"/>
        <v>1.5741173234662398E-4</v>
      </c>
      <c r="AA219" s="19">
        <f t="shared" si="59"/>
        <v>5.9769919781763116E-6</v>
      </c>
      <c r="AB219" s="45">
        <f t="shared" si="73"/>
        <v>1.1175162280467887E-3</v>
      </c>
      <c r="AC219" s="81">
        <f>X219*(1+AB219)^8</f>
        <v>48084.729947281783</v>
      </c>
      <c r="AD219" s="81"/>
    </row>
    <row r="220" spans="2:30">
      <c r="B220" s="8">
        <f>[1]world_population_Raw_Data!B213</f>
        <v>212</v>
      </c>
      <c r="C220" s="9" t="str">
        <f>[1]world_population_Raw_Data!D213</f>
        <v>Turks and Caicos Islands</v>
      </c>
      <c r="D220" s="10" t="str">
        <f>[1]world_population_Raw_Data!F213</f>
        <v>North America</v>
      </c>
      <c r="E220" s="11">
        <f>[1]world_population_Raw_Data!N213</f>
        <v>5665</v>
      </c>
      <c r="F220" s="11">
        <f>[1]world_population_Raw_Data!M213</f>
        <v>7598</v>
      </c>
      <c r="G220" s="18">
        <f t="shared" si="60"/>
        <v>0.3412180052956752</v>
      </c>
      <c r="H220" s="39">
        <f t="shared" si="61"/>
        <v>1.0297930050028792</v>
      </c>
      <c r="I220" s="11">
        <f>[1]world_population_Raw_Data!L213</f>
        <v>11709</v>
      </c>
      <c r="J220" s="18">
        <f t="shared" si="62"/>
        <v>0.54106343774677546</v>
      </c>
      <c r="K220" s="39">
        <f t="shared" si="63"/>
        <v>1.0441960635987586</v>
      </c>
      <c r="L220" s="11">
        <f>[1]world_population_Raw_Data!K213</f>
        <v>18744</v>
      </c>
      <c r="M220" s="18">
        <f t="shared" si="64"/>
        <v>0.60081988214194204</v>
      </c>
      <c r="N220" s="39">
        <f t="shared" si="65"/>
        <v>4.8176085640077249E-2</v>
      </c>
      <c r="O220" s="11">
        <f>[1]world_population_Raw_Data!J213</f>
        <v>29726</v>
      </c>
      <c r="P220" s="18">
        <f t="shared" si="66"/>
        <v>0.58589415279556123</v>
      </c>
      <c r="Q220" s="39">
        <f t="shared" si="67"/>
        <v>4.7194662056712966E-2</v>
      </c>
      <c r="R220" s="11">
        <f>[1]world_population_Raw_Data!I213</f>
        <v>36538</v>
      </c>
      <c r="S220" s="18">
        <f t="shared" si="68"/>
        <v>0.22915965821166656</v>
      </c>
      <c r="T220" s="39">
        <f t="shared" si="69"/>
        <v>4.212942746589432E-2</v>
      </c>
      <c r="U220" s="11">
        <f>[1]world_population_Raw_Data!H213</f>
        <v>44276</v>
      </c>
      <c r="V220" s="18">
        <f t="shared" si="70"/>
        <v>0.2117795172149543</v>
      </c>
      <c r="W220" s="39">
        <f t="shared" si="71"/>
        <v>3.9165503858371808E-2</v>
      </c>
      <c r="X220" s="11">
        <f>[1]world_population_Raw_Data!G213</f>
        <v>45703</v>
      </c>
      <c r="Y220" s="18">
        <f t="shared" si="58"/>
        <v>3.2229650374920947E-2</v>
      </c>
      <c r="Z220" s="39">
        <f t="shared" si="72"/>
        <v>1.5987032582070348E-2</v>
      </c>
      <c r="AA220" s="19">
        <f t="shared" si="59"/>
        <v>5.7319274058080028E-6</v>
      </c>
      <c r="AB220" s="45">
        <f t="shared" si="73"/>
        <v>4.0968049515196281E-2</v>
      </c>
      <c r="AC220" s="81">
        <f t="shared" ref="AC220:AC235" si="75">X220*(1+AB220)^8</f>
        <v>63014.995235941606</v>
      </c>
      <c r="AD220" s="81"/>
    </row>
    <row r="221" spans="2:30">
      <c r="B221" s="8">
        <f>[1]world_population_Raw_Data!B214</f>
        <v>213</v>
      </c>
      <c r="C221" s="9" t="str">
        <f>[1]world_population_Raw_Data!D214</f>
        <v>American Samoa</v>
      </c>
      <c r="D221" s="10" t="str">
        <f>[1]world_population_Raw_Data!F214</f>
        <v>Oceania</v>
      </c>
      <c r="E221" s="11">
        <f>[1]world_population_Raw_Data!N214</f>
        <v>27075</v>
      </c>
      <c r="F221" s="11">
        <f>[1]world_population_Raw_Data!M214</f>
        <v>32886</v>
      </c>
      <c r="G221" s="18">
        <f t="shared" si="60"/>
        <v>0.21462603878116343</v>
      </c>
      <c r="H221" s="39">
        <f t="shared" si="61"/>
        <v>1.0196338826057685</v>
      </c>
      <c r="I221" s="11">
        <f>[1]world_population_Raw_Data!L214</f>
        <v>47818</v>
      </c>
      <c r="J221" s="18">
        <f t="shared" si="62"/>
        <v>0.45405339658213223</v>
      </c>
      <c r="K221" s="39">
        <f t="shared" si="63"/>
        <v>1.0381450451938961</v>
      </c>
      <c r="L221" s="11">
        <f>[1]world_population_Raw_Data!K214</f>
        <v>58230</v>
      </c>
      <c r="M221" s="18">
        <f t="shared" si="64"/>
        <v>0.21774227278430716</v>
      </c>
      <c r="N221" s="39">
        <f t="shared" si="65"/>
        <v>1.9895177460650171E-2</v>
      </c>
      <c r="O221" s="11">
        <f>[1]world_population_Raw_Data!J214</f>
        <v>54849</v>
      </c>
      <c r="P221" s="18">
        <f t="shared" si="66"/>
        <v>-5.8062854198866566E-2</v>
      </c>
      <c r="Q221" s="39">
        <f t="shared" si="67"/>
        <v>-5.9638184948590522E-3</v>
      </c>
      <c r="R221" s="11">
        <f>[1]world_population_Raw_Data!I214</f>
        <v>51368</v>
      </c>
      <c r="S221" s="18">
        <f t="shared" si="68"/>
        <v>-6.3465149774836374E-2</v>
      </c>
      <c r="T221" s="39">
        <f t="shared" si="69"/>
        <v>-1.302809885428402E-2</v>
      </c>
      <c r="U221" s="11">
        <f>[1]world_population_Raw_Data!H214</f>
        <v>46189</v>
      </c>
      <c r="V221" s="18">
        <f t="shared" si="70"/>
        <v>-0.10082152312723874</v>
      </c>
      <c r="W221" s="39">
        <f t="shared" si="71"/>
        <v>-2.1030456947186416E-2</v>
      </c>
      <c r="X221" s="11">
        <f>[1]world_population_Raw_Data!G214</f>
        <v>44273</v>
      </c>
      <c r="Y221" s="18">
        <f t="shared" si="58"/>
        <v>-4.1481738076165321E-2</v>
      </c>
      <c r="Z221" s="39">
        <f t="shared" si="72"/>
        <v>-2.0960541181391013E-2</v>
      </c>
      <c r="AA221" s="19">
        <f t="shared" si="59"/>
        <v>5.5525812755691688E-6</v>
      </c>
      <c r="AB221" s="45">
        <f t="shared" si="73"/>
        <v>9.5018629458938353E-3</v>
      </c>
      <c r="AC221" s="81">
        <f t="shared" si="75"/>
        <v>47752.481964859922</v>
      </c>
      <c r="AD221" s="81"/>
    </row>
    <row r="222" spans="2:30">
      <c r="B222" s="8">
        <f>[1]world_population_Raw_Data!B215</f>
        <v>214</v>
      </c>
      <c r="C222" s="9" t="str">
        <f>[1]world_population_Raw_Data!D215</f>
        <v>Sint Maarten</v>
      </c>
      <c r="D222" s="10" t="str">
        <f>[1]world_population_Raw_Data!F215</f>
        <v>North America</v>
      </c>
      <c r="E222" s="11">
        <f>[1]world_population_Raw_Data!N215</f>
        <v>6260</v>
      </c>
      <c r="F222" s="11">
        <f>[1]world_population_Raw_Data!M215</f>
        <v>12243</v>
      </c>
      <c r="G222" s="18">
        <f t="shared" si="60"/>
        <v>0.95575079872204471</v>
      </c>
      <c r="H222" s="39">
        <f t="shared" si="61"/>
        <v>1.0693782619555288</v>
      </c>
      <c r="I222" s="11">
        <f>[1]world_population_Raw_Data!L215</f>
        <v>27845</v>
      </c>
      <c r="J222" s="18">
        <f t="shared" si="62"/>
        <v>1.2743608592665197</v>
      </c>
      <c r="K222" s="39">
        <f t="shared" si="63"/>
        <v>1.0856402522500812</v>
      </c>
      <c r="L222" s="11">
        <f>[1]world_population_Raw_Data!K215</f>
        <v>30489</v>
      </c>
      <c r="M222" s="18">
        <f t="shared" si="64"/>
        <v>9.4954210809840192E-2</v>
      </c>
      <c r="N222" s="39">
        <f t="shared" si="65"/>
        <v>9.112523099388703E-3</v>
      </c>
      <c r="O222" s="11">
        <f>[1]world_population_Raw_Data!J215</f>
        <v>33034</v>
      </c>
      <c r="P222" s="18">
        <f t="shared" si="66"/>
        <v>8.3472727869067537E-2</v>
      </c>
      <c r="Q222" s="39">
        <f t="shared" si="67"/>
        <v>8.0493604266838048E-3</v>
      </c>
      <c r="R222" s="11">
        <f>[1]world_population_Raw_Data!I215</f>
        <v>40205</v>
      </c>
      <c r="S222" s="18">
        <f t="shared" si="68"/>
        <v>0.21707937276745171</v>
      </c>
      <c r="T222" s="39">
        <f t="shared" si="69"/>
        <v>4.0072899510890991E-2</v>
      </c>
      <c r="U222" s="11">
        <f>[1]world_population_Raw_Data!H215</f>
        <v>43621</v>
      </c>
      <c r="V222" s="18">
        <f t="shared" si="70"/>
        <v>8.4964556647183193E-2</v>
      </c>
      <c r="W222" s="39">
        <f t="shared" si="71"/>
        <v>1.6443189269008007E-2</v>
      </c>
      <c r="X222" s="11">
        <f>[1]world_population_Raw_Data!G215</f>
        <v>44175</v>
      </c>
      <c r="Y222" s="18">
        <f t="shared" si="58"/>
        <v>1.2700304899016529E-2</v>
      </c>
      <c r="Z222" s="39">
        <f t="shared" si="72"/>
        <v>6.3301172572629572E-3</v>
      </c>
      <c r="AA222" s="19">
        <f t="shared" si="59"/>
        <v>5.5402904218884656E-6</v>
      </c>
      <c r="AB222" s="45">
        <f t="shared" si="73"/>
        <v>3.8291439972119479E-2</v>
      </c>
      <c r="AC222" s="81">
        <f t="shared" si="75"/>
        <v>59666.525209183637</v>
      </c>
      <c r="AD222" s="81"/>
    </row>
    <row r="223" spans="2:30">
      <c r="B223" s="8">
        <f>[1]world_population_Raw_Data!B216</f>
        <v>215</v>
      </c>
      <c r="C223" s="9" t="str">
        <f>[1]world_population_Raw_Data!D216</f>
        <v>Marshall Islands</v>
      </c>
      <c r="D223" s="10" t="str">
        <f>[1]world_population_Raw_Data!F216</f>
        <v>Oceania</v>
      </c>
      <c r="E223" s="11">
        <f>[1]world_population_Raw_Data!N216</f>
        <v>23969</v>
      </c>
      <c r="F223" s="11">
        <f>[1]world_population_Raw_Data!M216</f>
        <v>31988</v>
      </c>
      <c r="G223" s="18">
        <f t="shared" si="60"/>
        <v>0.33455713630105555</v>
      </c>
      <c r="H223" s="39">
        <f t="shared" si="61"/>
        <v>1.0292804340375101</v>
      </c>
      <c r="I223" s="11">
        <f>[1]world_population_Raw_Data!L216</f>
        <v>46047</v>
      </c>
      <c r="J223" s="18">
        <f t="shared" si="62"/>
        <v>0.43950856571214203</v>
      </c>
      <c r="K223" s="39">
        <f t="shared" si="63"/>
        <v>1.0371018891202552</v>
      </c>
      <c r="L223" s="11">
        <f>[1]world_population_Raw_Data!K216</f>
        <v>54224</v>
      </c>
      <c r="M223" s="18">
        <f t="shared" si="64"/>
        <v>0.17757942971311921</v>
      </c>
      <c r="N223" s="39">
        <f t="shared" si="65"/>
        <v>1.6480428497687161E-2</v>
      </c>
      <c r="O223" s="11">
        <f>[1]world_population_Raw_Data!J216</f>
        <v>53416</v>
      </c>
      <c r="P223" s="18">
        <f t="shared" si="66"/>
        <v>-1.4901150781941576E-2</v>
      </c>
      <c r="Q223" s="39">
        <f t="shared" si="67"/>
        <v>-1.5002024005681402E-3</v>
      </c>
      <c r="R223" s="11">
        <f>[1]world_population_Raw_Data!I216</f>
        <v>49410</v>
      </c>
      <c r="S223" s="18">
        <f t="shared" si="68"/>
        <v>-7.4996255803504566E-2</v>
      </c>
      <c r="T223" s="39">
        <f t="shared" si="69"/>
        <v>-1.5470580570601355E-2</v>
      </c>
      <c r="U223" s="11">
        <f>[1]world_population_Raw_Data!H216</f>
        <v>43413</v>
      </c>
      <c r="V223" s="18">
        <f t="shared" si="70"/>
        <v>-0.12137219186399514</v>
      </c>
      <c r="W223" s="39">
        <f t="shared" si="71"/>
        <v>-2.5546793832669445E-2</v>
      </c>
      <c r="X223" s="11">
        <f>[1]world_population_Raw_Data!G216</f>
        <v>41569</v>
      </c>
      <c r="Y223" s="18">
        <f t="shared" si="58"/>
        <v>-4.2475756109920992E-2</v>
      </c>
      <c r="Z223" s="39">
        <f t="shared" si="72"/>
        <v>-2.1468322490232783E-2</v>
      </c>
      <c r="AA223" s="19">
        <f t="shared" si="59"/>
        <v>5.2134540474811909E-6</v>
      </c>
      <c r="AB223" s="45">
        <f t="shared" si="73"/>
        <v>1.0644588789139542E-2</v>
      </c>
      <c r="AC223" s="81">
        <f t="shared" si="75"/>
        <v>45243.606585172216</v>
      </c>
      <c r="AD223" s="81"/>
    </row>
    <row r="224" spans="2:30">
      <c r="B224" s="8">
        <f>[1]world_population_Raw_Data!B217</f>
        <v>216</v>
      </c>
      <c r="C224" s="9" t="str">
        <f>[1]world_population_Raw_Data!D217</f>
        <v>Liechtenstein</v>
      </c>
      <c r="D224" s="10" t="str">
        <f>[1]world_population_Raw_Data!F217</f>
        <v>Europe</v>
      </c>
      <c r="E224" s="11">
        <f>[1]world_population_Raw_Data!N217</f>
        <v>21089</v>
      </c>
      <c r="F224" s="11">
        <f>[1]world_population_Raw_Data!M217</f>
        <v>25003</v>
      </c>
      <c r="G224" s="18">
        <f t="shared" si="60"/>
        <v>0.18559438569870548</v>
      </c>
      <c r="H224" s="39">
        <f t="shared" si="61"/>
        <v>1.0171701654001293</v>
      </c>
      <c r="I224" s="11">
        <f>[1]world_population_Raw_Data!L217</f>
        <v>28765</v>
      </c>
      <c r="J224" s="18">
        <f t="shared" si="62"/>
        <v>0.15046194456665199</v>
      </c>
      <c r="K224" s="39">
        <f t="shared" si="63"/>
        <v>1.0141150449228011</v>
      </c>
      <c r="L224" s="11">
        <f>[1]world_population_Raw_Data!K217</f>
        <v>33026</v>
      </c>
      <c r="M224" s="18">
        <f t="shared" si="64"/>
        <v>0.14813140969928734</v>
      </c>
      <c r="N224" s="39">
        <f t="shared" si="65"/>
        <v>1.3909424240402535E-2</v>
      </c>
      <c r="O224" s="11">
        <f>[1]world_population_Raw_Data!J217</f>
        <v>35926</v>
      </c>
      <c r="P224" s="18">
        <f t="shared" si="66"/>
        <v>8.7809604553987772E-2</v>
      </c>
      <c r="Q224" s="39">
        <f t="shared" si="67"/>
        <v>8.4521330046669618E-3</v>
      </c>
      <c r="R224" s="11">
        <f>[1]world_population_Raw_Data!I217</f>
        <v>37355</v>
      </c>
      <c r="S224" s="18">
        <f t="shared" si="68"/>
        <v>3.9776206646996604E-2</v>
      </c>
      <c r="T224" s="39">
        <f t="shared" si="69"/>
        <v>7.8316086832457277E-3</v>
      </c>
      <c r="U224" s="11">
        <f>[1]world_population_Raw_Data!H217</f>
        <v>38756</v>
      </c>
      <c r="V224" s="18">
        <f t="shared" si="70"/>
        <v>3.7505019408379067E-2</v>
      </c>
      <c r="W224" s="39">
        <f t="shared" si="71"/>
        <v>7.3909413886965591E-3</v>
      </c>
      <c r="X224" s="11">
        <f>[1]world_population_Raw_Data!G217</f>
        <v>39327</v>
      </c>
      <c r="Y224" s="18">
        <f t="shared" si="58"/>
        <v>1.4733202600887604E-2</v>
      </c>
      <c r="Z224" s="39">
        <f t="shared" si="72"/>
        <v>7.33966595229818E-3</v>
      </c>
      <c r="AA224" s="19">
        <f t="shared" si="59"/>
        <v>4.9322694153165293E-6</v>
      </c>
      <c r="AB224" s="45">
        <f t="shared" si="73"/>
        <v>1.2055934851136429E-2</v>
      </c>
      <c r="AC224" s="81">
        <f t="shared" si="75"/>
        <v>43283.955920180342</v>
      </c>
      <c r="AD224" s="81"/>
    </row>
    <row r="225" spans="2:30">
      <c r="B225" s="8">
        <f>[1]world_population_Raw_Data!B218</f>
        <v>217</v>
      </c>
      <c r="C225" s="9" t="str">
        <f>[1]world_population_Raw_Data!D218</f>
        <v>Monaco</v>
      </c>
      <c r="D225" s="10" t="str">
        <f>[1]world_population_Raw_Data!F218</f>
        <v>Europe</v>
      </c>
      <c r="E225" s="11">
        <f>[1]world_population_Raw_Data!N218</f>
        <v>24270</v>
      </c>
      <c r="F225" s="11">
        <f>[1]world_population_Raw_Data!M218</f>
        <v>27076</v>
      </c>
      <c r="G225" s="18">
        <f t="shared" si="60"/>
        <v>0.11561598681499793</v>
      </c>
      <c r="H225" s="39">
        <f t="shared" si="61"/>
        <v>1.0110007386898976</v>
      </c>
      <c r="I225" s="11">
        <f>[1]world_population_Raw_Data!L218</f>
        <v>30329</v>
      </c>
      <c r="J225" s="18">
        <f t="shared" si="62"/>
        <v>0.12014330033978431</v>
      </c>
      <c r="K225" s="39">
        <f t="shared" si="63"/>
        <v>1.0114102685148552</v>
      </c>
      <c r="L225" s="11">
        <f>[1]world_population_Raw_Data!K218</f>
        <v>32465</v>
      </c>
      <c r="M225" s="18">
        <f t="shared" si="64"/>
        <v>7.0427643509512347E-2</v>
      </c>
      <c r="N225" s="39">
        <f t="shared" si="65"/>
        <v>6.8290357926370504E-3</v>
      </c>
      <c r="O225" s="11">
        <f>[1]world_population_Raw_Data!J218</f>
        <v>33178</v>
      </c>
      <c r="P225" s="18">
        <f t="shared" si="66"/>
        <v>2.1962113044817495E-2</v>
      </c>
      <c r="Q225" s="39">
        <f t="shared" si="67"/>
        <v>2.1748034327584431E-3</v>
      </c>
      <c r="R225" s="11">
        <f>[1]world_population_Raw_Data!I218</f>
        <v>36760</v>
      </c>
      <c r="S225" s="18">
        <f t="shared" si="68"/>
        <v>0.10796310808366991</v>
      </c>
      <c r="T225" s="39">
        <f t="shared" si="69"/>
        <v>2.0716323099762235E-2</v>
      </c>
      <c r="U225" s="11">
        <f>[1]world_population_Raw_Data!H218</f>
        <v>36922</v>
      </c>
      <c r="V225" s="18">
        <f t="shared" si="70"/>
        <v>4.4069640914036999E-3</v>
      </c>
      <c r="W225" s="39">
        <f t="shared" si="71"/>
        <v>8.7984320732670263E-4</v>
      </c>
      <c r="X225" s="11">
        <f>[1]world_population_Raw_Data!G218</f>
        <v>36469</v>
      </c>
      <c r="Y225" s="18">
        <f t="shared" si="58"/>
        <v>-1.2269107848978928E-2</v>
      </c>
      <c r="Z225" s="39">
        <f t="shared" si="72"/>
        <v>-6.1534866233010632E-3</v>
      </c>
      <c r="AA225" s="19">
        <f t="shared" si="59"/>
        <v>4.5738279885874466E-6</v>
      </c>
      <c r="AB225" s="45">
        <f t="shared" si="73"/>
        <v>7.8619278628835332E-3</v>
      </c>
      <c r="AC225" s="81">
        <f t="shared" si="75"/>
        <v>38826.851497251002</v>
      </c>
      <c r="AD225" s="81"/>
    </row>
    <row r="226" spans="2:30">
      <c r="B226" s="8">
        <f>[1]world_population_Raw_Data!B219</f>
        <v>218</v>
      </c>
      <c r="C226" s="9" t="str">
        <f>[1]world_population_Raw_Data!D219</f>
        <v>San Marino</v>
      </c>
      <c r="D226" s="10" t="str">
        <f>[1]world_population_Raw_Data!F219</f>
        <v>Europe</v>
      </c>
      <c r="E226" s="11">
        <f>[1]world_population_Raw_Data!N219</f>
        <v>18169</v>
      </c>
      <c r="F226" s="11">
        <f>[1]world_population_Raw_Data!M219</f>
        <v>21346</v>
      </c>
      <c r="G226" s="18">
        <f t="shared" si="60"/>
        <v>0.17485827508393417</v>
      </c>
      <c r="H226" s="39">
        <f t="shared" si="61"/>
        <v>1.0162452952380847</v>
      </c>
      <c r="I226" s="11">
        <f>[1]world_population_Raw_Data!L219</f>
        <v>23132</v>
      </c>
      <c r="J226" s="18">
        <f t="shared" si="62"/>
        <v>8.3669071488803523E-2</v>
      </c>
      <c r="K226" s="39">
        <f t="shared" si="63"/>
        <v>1.0080676264999151</v>
      </c>
      <c r="L226" s="11">
        <f>[1]world_population_Raw_Data!K219</f>
        <v>26823</v>
      </c>
      <c r="M226" s="18">
        <f t="shared" si="64"/>
        <v>0.15956251080753933</v>
      </c>
      <c r="N226" s="39">
        <f t="shared" si="65"/>
        <v>1.4914404922887758E-2</v>
      </c>
      <c r="O226" s="11">
        <f>[1]world_population_Raw_Data!J219</f>
        <v>31608</v>
      </c>
      <c r="P226" s="18">
        <f t="shared" si="66"/>
        <v>0.17839167878313389</v>
      </c>
      <c r="Q226" s="39">
        <f t="shared" si="67"/>
        <v>1.6550519661189478E-2</v>
      </c>
      <c r="R226" s="11">
        <f>[1]world_population_Raw_Data!I219</f>
        <v>33570</v>
      </c>
      <c r="S226" s="18">
        <f t="shared" si="68"/>
        <v>6.2072892938496584E-2</v>
      </c>
      <c r="T226" s="39">
        <f t="shared" si="69"/>
        <v>1.2117338801873156E-2</v>
      </c>
      <c r="U226" s="11">
        <f>[1]world_population_Raw_Data!H219</f>
        <v>34007</v>
      </c>
      <c r="V226" s="18">
        <f t="shared" si="70"/>
        <v>1.3017575215966637E-2</v>
      </c>
      <c r="W226" s="39">
        <f t="shared" si="71"/>
        <v>2.5900633909194948E-3</v>
      </c>
      <c r="X226" s="11">
        <f>[1]world_population_Raw_Data!G219</f>
        <v>33660</v>
      </c>
      <c r="Y226" s="18">
        <f t="shared" si="58"/>
        <v>-1.0203781574381746E-2</v>
      </c>
      <c r="Z226" s="39">
        <f t="shared" si="72"/>
        <v>-5.1149722577898959E-3</v>
      </c>
      <c r="AA226" s="19">
        <f t="shared" si="59"/>
        <v>4.2215319886987147E-6</v>
      </c>
      <c r="AB226" s="45">
        <f t="shared" si="73"/>
        <v>1.1928143907924627E-2</v>
      </c>
      <c r="AC226" s="81">
        <f t="shared" si="75"/>
        <v>37009.354431729269</v>
      </c>
      <c r="AD226" s="81"/>
    </row>
    <row r="227" spans="2:30">
      <c r="B227" s="8">
        <f>[1]world_population_Raw_Data!B220</f>
        <v>219</v>
      </c>
      <c r="C227" s="9" t="str">
        <f>[1]world_population_Raw_Data!D220</f>
        <v>Gibraltar</v>
      </c>
      <c r="D227" s="10" t="str">
        <f>[1]world_population_Raw_Data!F220</f>
        <v>Europe</v>
      </c>
      <c r="E227" s="11">
        <f>[1]world_population_Raw_Data!N220</f>
        <v>26685</v>
      </c>
      <c r="F227" s="11">
        <f>[1]world_population_Raw_Data!M220</f>
        <v>28734</v>
      </c>
      <c r="G227" s="18">
        <f t="shared" si="60"/>
        <v>7.678471051152333E-2</v>
      </c>
      <c r="H227" s="39">
        <f t="shared" si="61"/>
        <v>1.0074253805043187</v>
      </c>
      <c r="I227" s="11">
        <f>[1]world_population_Raw_Data!L220</f>
        <v>27317</v>
      </c>
      <c r="J227" s="18">
        <f t="shared" si="62"/>
        <v>-4.9314401057980094E-2</v>
      </c>
      <c r="K227" s="39">
        <f t="shared" si="63"/>
        <v>0.99495557888395003</v>
      </c>
      <c r="L227" s="11">
        <f>[1]world_population_Raw_Data!K220</f>
        <v>27741</v>
      </c>
      <c r="M227" s="18">
        <f t="shared" si="64"/>
        <v>1.5521470146795035E-2</v>
      </c>
      <c r="N227" s="39">
        <f t="shared" si="65"/>
        <v>1.5414111802312114E-3</v>
      </c>
      <c r="O227" s="11">
        <f>[1]world_population_Raw_Data!J220</f>
        <v>31262</v>
      </c>
      <c r="P227" s="18">
        <f t="shared" si="66"/>
        <v>0.12692404743880897</v>
      </c>
      <c r="Q227" s="39">
        <f t="shared" si="67"/>
        <v>1.2020860627361296E-2</v>
      </c>
      <c r="R227" s="11">
        <f>[1]world_population_Raw_Data!I220</f>
        <v>32520</v>
      </c>
      <c r="S227" s="18">
        <f t="shared" si="68"/>
        <v>4.0240547629710188E-2</v>
      </c>
      <c r="T227" s="39">
        <f t="shared" si="69"/>
        <v>7.9216076548775938E-3</v>
      </c>
      <c r="U227" s="11">
        <f>[1]world_population_Raw_Data!H220</f>
        <v>32709</v>
      </c>
      <c r="V227" s="18">
        <f t="shared" si="70"/>
        <v>5.811808118081181E-3</v>
      </c>
      <c r="W227" s="39">
        <f t="shared" si="71"/>
        <v>1.1596688390556054E-3</v>
      </c>
      <c r="X227" s="11">
        <f>[1]world_population_Raw_Data!G220</f>
        <v>32649</v>
      </c>
      <c r="Y227" s="18">
        <f t="shared" si="58"/>
        <v>-1.8343575162799229E-3</v>
      </c>
      <c r="Z227" s="39">
        <f t="shared" si="72"/>
        <v>-9.1759975279315231E-4</v>
      </c>
      <c r="AA227" s="19">
        <f t="shared" si="59"/>
        <v>4.0947355287886021E-6</v>
      </c>
      <c r="AB227" s="45">
        <f t="shared" si="73"/>
        <v>3.8866222026474606E-3</v>
      </c>
      <c r="AC227" s="81">
        <f t="shared" si="75"/>
        <v>33678.071821554455</v>
      </c>
      <c r="AD227" s="81"/>
    </row>
    <row r="228" spans="2:30">
      <c r="B228" s="8">
        <f>[1]world_population_Raw_Data!B221</f>
        <v>220</v>
      </c>
      <c r="C228" s="9" t="str">
        <f>[1]world_population_Raw_Data!D221</f>
        <v>Saint Martin</v>
      </c>
      <c r="D228" s="10" t="str">
        <f>[1]world_population_Raw_Data!F221</f>
        <v>North America</v>
      </c>
      <c r="E228" s="11">
        <f>[1]world_population_Raw_Data!N221</f>
        <v>5802</v>
      </c>
      <c r="F228" s="11">
        <f>[1]world_population_Raw_Data!M221</f>
        <v>7776</v>
      </c>
      <c r="G228" s="18">
        <f t="shared" si="60"/>
        <v>0.34022750775594623</v>
      </c>
      <c r="H228" s="39">
        <f t="shared" si="61"/>
        <v>1.0297169288863037</v>
      </c>
      <c r="I228" s="11">
        <f>[1]world_population_Raw_Data!L221</f>
        <v>28127</v>
      </c>
      <c r="J228" s="18">
        <f t="shared" si="62"/>
        <v>2.6171553497942388</v>
      </c>
      <c r="K228" s="39">
        <f t="shared" si="63"/>
        <v>1.1371996467859857</v>
      </c>
      <c r="L228" s="11">
        <f>[1]world_population_Raw_Data!K221</f>
        <v>29610</v>
      </c>
      <c r="M228" s="18">
        <f t="shared" si="64"/>
        <v>5.2725139545632307E-2</v>
      </c>
      <c r="N228" s="39">
        <f t="shared" si="65"/>
        <v>5.1514405774444327E-3</v>
      </c>
      <c r="O228" s="11">
        <f>[1]world_population_Raw_Data!J221</f>
        <v>36458</v>
      </c>
      <c r="P228" s="18">
        <f t="shared" si="66"/>
        <v>0.23127321850726107</v>
      </c>
      <c r="Q228" s="39">
        <f t="shared" si="67"/>
        <v>2.1022807268187949E-2</v>
      </c>
      <c r="R228" s="11">
        <f>[1]world_population_Raw_Data!I221</f>
        <v>35020</v>
      </c>
      <c r="S228" s="18">
        <f t="shared" si="68"/>
        <v>-3.9442646332766472E-2</v>
      </c>
      <c r="T228" s="39">
        <f t="shared" si="69"/>
        <v>-8.0160162596177864E-3</v>
      </c>
      <c r="U228" s="11">
        <f>[1]world_population_Raw_Data!H221</f>
        <v>32552</v>
      </c>
      <c r="V228" s="18">
        <f t="shared" si="70"/>
        <v>-7.0474014848657909E-2</v>
      </c>
      <c r="W228" s="39">
        <f t="shared" si="71"/>
        <v>-1.4509806506296297E-2</v>
      </c>
      <c r="X228" s="11">
        <f>[1]world_population_Raw_Data!G221</f>
        <v>31791</v>
      </c>
      <c r="Y228" s="18">
        <f t="shared" si="58"/>
        <v>-2.3377979847628409E-2</v>
      </c>
      <c r="Z228" s="39">
        <f t="shared" si="72"/>
        <v>-1.1758116576527811E-2</v>
      </c>
      <c r="AA228" s="19">
        <f t="shared" si="59"/>
        <v>3.9871278506453014E-6</v>
      </c>
      <c r="AB228" s="45">
        <f t="shared" si="73"/>
        <v>3.3252056087222481E-2</v>
      </c>
      <c r="AC228" s="81">
        <f t="shared" si="75"/>
        <v>41300.414882640784</v>
      </c>
      <c r="AD228" s="81"/>
    </row>
    <row r="229" spans="2:30">
      <c r="B229" s="8">
        <f>[1]world_population_Raw_Data!B222</f>
        <v>221</v>
      </c>
      <c r="C229" s="9" t="str">
        <f>[1]world_population_Raw_Data!D222</f>
        <v>British Virgin Islands</v>
      </c>
      <c r="D229" s="10" t="str">
        <f>[1]world_population_Raw_Data!F222</f>
        <v>North America</v>
      </c>
      <c r="E229" s="11">
        <f>[1]world_population_Raw_Data!N222</f>
        <v>9581</v>
      </c>
      <c r="F229" s="11">
        <f>[1]world_population_Raw_Data!M222</f>
        <v>11109</v>
      </c>
      <c r="G229" s="18">
        <f t="shared" si="60"/>
        <v>0.15948230873604008</v>
      </c>
      <c r="H229" s="39">
        <f t="shared" si="61"/>
        <v>1.0149073849674726</v>
      </c>
      <c r="I229" s="11">
        <f>[1]world_population_Raw_Data!L222</f>
        <v>15617</v>
      </c>
      <c r="J229" s="18">
        <f t="shared" si="62"/>
        <v>0.40579710144927539</v>
      </c>
      <c r="K229" s="39">
        <f t="shared" si="63"/>
        <v>1.034647146558128</v>
      </c>
      <c r="L229" s="11">
        <f>[1]world_population_Raw_Data!K222</f>
        <v>20104</v>
      </c>
      <c r="M229" s="18">
        <f t="shared" si="64"/>
        <v>0.28731510533393095</v>
      </c>
      <c r="N229" s="39">
        <f t="shared" si="65"/>
        <v>2.5577505135553125E-2</v>
      </c>
      <c r="O229" s="11">
        <f>[1]world_population_Raw_Data!J222</f>
        <v>27556</v>
      </c>
      <c r="P229" s="18">
        <f t="shared" si="66"/>
        <v>0.37067250298448068</v>
      </c>
      <c r="Q229" s="39">
        <f t="shared" si="67"/>
        <v>3.2032490647105671E-2</v>
      </c>
      <c r="R229" s="11">
        <f>[1]world_population_Raw_Data!I222</f>
        <v>29366</v>
      </c>
      <c r="S229" s="18">
        <f t="shared" si="68"/>
        <v>6.568442444476702E-2</v>
      </c>
      <c r="T229" s="39">
        <f t="shared" si="69"/>
        <v>1.2804736425153118E-2</v>
      </c>
      <c r="U229" s="11">
        <f>[1]world_population_Raw_Data!H222</f>
        <v>30910</v>
      </c>
      <c r="V229" s="18">
        <f t="shared" si="70"/>
        <v>5.2577811074031193E-2</v>
      </c>
      <c r="W229" s="39">
        <f t="shared" si="71"/>
        <v>1.0301137870318833E-2</v>
      </c>
      <c r="X229" s="11">
        <f>[1]world_population_Raw_Data!G222</f>
        <v>31305</v>
      </c>
      <c r="Y229" s="18">
        <f t="shared" si="58"/>
        <v>1.2779035910708508E-2</v>
      </c>
      <c r="Z229" s="39">
        <f t="shared" si="72"/>
        <v>6.3692343820476172E-3</v>
      </c>
      <c r="AA229" s="19">
        <f t="shared" si="59"/>
        <v>3.9261752497389567E-6</v>
      </c>
      <c r="AB229" s="45">
        <f t="shared" si="73"/>
        <v>2.3030346881753871E-2</v>
      </c>
      <c r="AC229" s="81">
        <f t="shared" si="75"/>
        <v>37559.676379235963</v>
      </c>
      <c r="AD229" s="81"/>
    </row>
    <row r="230" spans="2:30">
      <c r="B230" s="8">
        <f>[1]world_population_Raw_Data!B223</f>
        <v>222</v>
      </c>
      <c r="C230" s="9" t="str">
        <f>[1]world_population_Raw_Data!D223</f>
        <v>Palau</v>
      </c>
      <c r="D230" s="10" t="str">
        <f>[1]world_population_Raw_Data!F223</f>
        <v>Oceania</v>
      </c>
      <c r="E230" s="11">
        <f>[1]world_population_Raw_Data!N223</f>
        <v>11366</v>
      </c>
      <c r="F230" s="11">
        <f>[1]world_population_Raw_Data!M223</f>
        <v>12252</v>
      </c>
      <c r="G230" s="18">
        <f t="shared" si="60"/>
        <v>7.7951786028506068E-2</v>
      </c>
      <c r="H230" s="39">
        <f t="shared" si="61"/>
        <v>1.0075345173104147</v>
      </c>
      <c r="I230" s="11">
        <f>[1]world_population_Raw_Data!L223</f>
        <v>15293</v>
      </c>
      <c r="J230" s="18">
        <f t="shared" si="62"/>
        <v>0.24820437479595167</v>
      </c>
      <c r="K230" s="39">
        <f t="shared" si="63"/>
        <v>1.0224181960175756</v>
      </c>
      <c r="L230" s="11">
        <f>[1]world_population_Raw_Data!K223</f>
        <v>19726</v>
      </c>
      <c r="M230" s="18">
        <f t="shared" si="64"/>
        <v>0.28987118289413455</v>
      </c>
      <c r="N230" s="39">
        <f t="shared" si="65"/>
        <v>2.5780960860462221E-2</v>
      </c>
      <c r="O230" s="11">
        <f>[1]world_population_Raw_Data!J223</f>
        <v>18540</v>
      </c>
      <c r="P230" s="18">
        <f t="shared" si="66"/>
        <v>-6.0123694616242521E-2</v>
      </c>
      <c r="Q230" s="39">
        <f t="shared" si="67"/>
        <v>-6.1815155709536995E-3</v>
      </c>
      <c r="R230" s="11">
        <f>[1]world_population_Raw_Data!I223</f>
        <v>17794</v>
      </c>
      <c r="S230" s="18">
        <f t="shared" si="68"/>
        <v>-4.0237324703344124E-2</v>
      </c>
      <c r="T230" s="39">
        <f t="shared" si="69"/>
        <v>-8.1802061879741039E-3</v>
      </c>
      <c r="U230" s="11">
        <f>[1]world_population_Raw_Data!H223</f>
        <v>17972</v>
      </c>
      <c r="V230" s="18">
        <f t="shared" si="70"/>
        <v>1.0003371923120154E-2</v>
      </c>
      <c r="W230" s="39">
        <f t="shared" si="71"/>
        <v>1.9927167032935955E-3</v>
      </c>
      <c r="X230" s="11">
        <f>[1]world_population_Raw_Data!G223</f>
        <v>18055</v>
      </c>
      <c r="Y230" s="18">
        <f t="shared" si="58"/>
        <v>4.6182951257511687E-3</v>
      </c>
      <c r="Z230" s="39">
        <f t="shared" si="72"/>
        <v>2.3064876203042761E-3</v>
      </c>
      <c r="AA230" s="19">
        <f t="shared" si="59"/>
        <v>2.2644016653581491E-6</v>
      </c>
      <c r="AB230" s="45">
        <f t="shared" si="73"/>
        <v>8.9396492565265717E-3</v>
      </c>
      <c r="AC230" s="81">
        <f t="shared" si="75"/>
        <v>19387.374823753031</v>
      </c>
      <c r="AD230" s="81"/>
    </row>
    <row r="231" spans="2:30">
      <c r="B231" s="8">
        <f>[1]world_population_Raw_Data!B224</f>
        <v>223</v>
      </c>
      <c r="C231" s="9" t="str">
        <f>[1]world_population_Raw_Data!D224</f>
        <v>Cook Islands</v>
      </c>
      <c r="D231" s="10" t="str">
        <f>[1]world_population_Raw_Data!F224</f>
        <v>Oceania</v>
      </c>
      <c r="E231" s="11">
        <f>[1]world_population_Raw_Data!N224</f>
        <v>20470</v>
      </c>
      <c r="F231" s="11">
        <f>[1]world_population_Raw_Data!M224</f>
        <v>17651</v>
      </c>
      <c r="G231" s="18">
        <f t="shared" si="60"/>
        <v>-0.13771372740595994</v>
      </c>
      <c r="H231" s="39">
        <f t="shared" si="61"/>
        <v>0.98529243251734611</v>
      </c>
      <c r="I231" s="11">
        <f>[1]world_population_Raw_Data!L224</f>
        <v>17123</v>
      </c>
      <c r="J231" s="18">
        <f t="shared" si="62"/>
        <v>-2.9913319358676561E-2</v>
      </c>
      <c r="K231" s="39">
        <f t="shared" si="63"/>
        <v>0.99696762197486133</v>
      </c>
      <c r="L231" s="11">
        <f>[1]world_population_Raw_Data!K224</f>
        <v>15897</v>
      </c>
      <c r="M231" s="18">
        <f t="shared" si="64"/>
        <v>-7.1599602873328269E-2</v>
      </c>
      <c r="N231" s="39">
        <f t="shared" si="65"/>
        <v>-7.4016892588562033E-3</v>
      </c>
      <c r="O231" s="11">
        <f>[1]world_population_Raw_Data!J224</f>
        <v>17212</v>
      </c>
      <c r="P231" s="18">
        <f t="shared" si="66"/>
        <v>8.2720010064792099E-2</v>
      </c>
      <c r="Q231" s="39">
        <f t="shared" si="67"/>
        <v>7.9793066080415809E-3</v>
      </c>
      <c r="R231" s="11">
        <f>[1]world_population_Raw_Data!I224</f>
        <v>17695</v>
      </c>
      <c r="S231" s="18">
        <f t="shared" si="68"/>
        <v>2.8061817336741807E-2</v>
      </c>
      <c r="T231" s="39">
        <f t="shared" si="69"/>
        <v>5.5504065094968968E-3</v>
      </c>
      <c r="U231" s="11">
        <f>[1]world_population_Raw_Data!H224</f>
        <v>17029</v>
      </c>
      <c r="V231" s="18">
        <f t="shared" si="70"/>
        <v>-3.7637750777055667E-2</v>
      </c>
      <c r="W231" s="39">
        <f t="shared" si="71"/>
        <v>-7.6435068409079765E-3</v>
      </c>
      <c r="X231" s="11">
        <f>[1]world_population_Raw_Data!G224</f>
        <v>17011</v>
      </c>
      <c r="Y231" s="18">
        <f t="shared" si="58"/>
        <v>-1.0570203770039345E-3</v>
      </c>
      <c r="Z231" s="39">
        <f t="shared" si="72"/>
        <v>-5.2864992387302578E-4</v>
      </c>
      <c r="AA231" s="19">
        <f t="shared" si="59"/>
        <v>2.1334664485963707E-6</v>
      </c>
      <c r="AB231" s="45">
        <f t="shared" si="73"/>
        <v>-3.5532914126583659E-3</v>
      </c>
      <c r="AC231" s="81">
        <f t="shared" si="75"/>
        <v>16533.410937483746</v>
      </c>
      <c r="AD231" s="81"/>
    </row>
    <row r="232" spans="2:30">
      <c r="B232" s="8">
        <f>[1]world_population_Raw_Data!B225</f>
        <v>224</v>
      </c>
      <c r="C232" s="9" t="str">
        <f>[1]world_population_Raw_Data!D225</f>
        <v>Anguilla</v>
      </c>
      <c r="D232" s="10" t="str">
        <f>[1]world_population_Raw_Data!F225</f>
        <v>North America</v>
      </c>
      <c r="E232" s="11">
        <f>[1]world_population_Raw_Data!N225</f>
        <v>6283</v>
      </c>
      <c r="F232" s="11">
        <f>[1]world_population_Raw_Data!M225</f>
        <v>6560</v>
      </c>
      <c r="G232" s="18">
        <f t="shared" si="60"/>
        <v>4.4087219481139583E-2</v>
      </c>
      <c r="H232" s="39">
        <f t="shared" si="61"/>
        <v>1.0043236229567918</v>
      </c>
      <c r="I232" s="11">
        <f>[1]world_population_Raw_Data!L225</f>
        <v>8316</v>
      </c>
      <c r="J232" s="18">
        <f t="shared" si="62"/>
        <v>0.26768292682926831</v>
      </c>
      <c r="K232" s="39">
        <f t="shared" si="63"/>
        <v>1.0240026112920702</v>
      </c>
      <c r="L232" s="11">
        <f>[1]world_population_Raw_Data!K225</f>
        <v>11047</v>
      </c>
      <c r="M232" s="18">
        <f t="shared" si="64"/>
        <v>0.32840307840307842</v>
      </c>
      <c r="N232" s="39">
        <f t="shared" si="65"/>
        <v>2.8804813034178256E-2</v>
      </c>
      <c r="O232" s="11">
        <f>[1]world_population_Raw_Data!J225</f>
        <v>13172</v>
      </c>
      <c r="P232" s="18">
        <f t="shared" si="66"/>
        <v>0.19235991671947136</v>
      </c>
      <c r="Q232" s="39">
        <f t="shared" si="67"/>
        <v>1.7749122965965425E-2</v>
      </c>
      <c r="R232" s="11">
        <f>[1]world_population_Raw_Data!I225</f>
        <v>14525</v>
      </c>
      <c r="S232" s="18">
        <f t="shared" si="68"/>
        <v>0.1027178864257516</v>
      </c>
      <c r="T232" s="39">
        <f t="shared" si="69"/>
        <v>1.9748050677581341E-2</v>
      </c>
      <c r="U232" s="11">
        <f>[1]world_population_Raw_Data!H225</f>
        <v>15585</v>
      </c>
      <c r="V232" s="18">
        <f t="shared" si="70"/>
        <v>7.2977624784853701E-2</v>
      </c>
      <c r="W232" s="39">
        <f t="shared" si="71"/>
        <v>1.4187218845607807E-2</v>
      </c>
      <c r="X232" s="11">
        <f>[1]world_population_Raw_Data!G225</f>
        <v>15857</v>
      </c>
      <c r="Y232" s="18">
        <f t="shared" si="58"/>
        <v>1.7452678857876162E-2</v>
      </c>
      <c r="Z232" s="39">
        <f t="shared" si="72"/>
        <v>8.6885935995688612E-3</v>
      </c>
      <c r="AA232" s="19">
        <f t="shared" si="59"/>
        <v>1.9887353756623745E-6</v>
      </c>
      <c r="AB232" s="45">
        <f t="shared" si="73"/>
        <v>1.7962564269141001E-2</v>
      </c>
      <c r="AC232" s="81">
        <f t="shared" si="75"/>
        <v>18284.179767999252</v>
      </c>
      <c r="AD232" s="81"/>
    </row>
    <row r="233" spans="2:30">
      <c r="B233" s="8">
        <f>[1]world_population_Raw_Data!B226</f>
        <v>225</v>
      </c>
      <c r="C233" s="9" t="str">
        <f>[1]world_population_Raw_Data!D226</f>
        <v>Nauru</v>
      </c>
      <c r="D233" s="10" t="str">
        <f>[1]world_population_Raw_Data!F226</f>
        <v>Oceania</v>
      </c>
      <c r="E233" s="11">
        <f>[1]world_population_Raw_Data!N226</f>
        <v>6663</v>
      </c>
      <c r="F233" s="11">
        <f>[1]world_population_Raw_Data!M226</f>
        <v>7635</v>
      </c>
      <c r="G233" s="18">
        <f t="shared" si="60"/>
        <v>0.14588023412877082</v>
      </c>
      <c r="H233" s="39">
        <f t="shared" si="61"/>
        <v>1.0137104483639572</v>
      </c>
      <c r="I233" s="11">
        <f>[1]world_population_Raw_Data!L226</f>
        <v>9598</v>
      </c>
      <c r="J233" s="18">
        <f t="shared" si="62"/>
        <v>0.25710543549443354</v>
      </c>
      <c r="K233" s="39">
        <f t="shared" si="63"/>
        <v>1.0231449627276148</v>
      </c>
      <c r="L233" s="11">
        <f>[1]world_population_Raw_Data!K226</f>
        <v>10377</v>
      </c>
      <c r="M233" s="18">
        <f t="shared" si="64"/>
        <v>8.116274223796624E-2</v>
      </c>
      <c r="N233" s="39">
        <f t="shared" si="65"/>
        <v>7.8342358038281379E-3</v>
      </c>
      <c r="O233" s="11">
        <f>[1]world_population_Raw_Data!J226</f>
        <v>10241</v>
      </c>
      <c r="P233" s="18">
        <f t="shared" si="66"/>
        <v>-1.3105907294979281E-2</v>
      </c>
      <c r="Q233" s="39">
        <f t="shared" si="67"/>
        <v>-1.3183849189853936E-3</v>
      </c>
      <c r="R233" s="11">
        <f>[1]world_population_Raw_Data!I226</f>
        <v>11185</v>
      </c>
      <c r="S233" s="18">
        <f t="shared" si="68"/>
        <v>9.2178498193535782E-2</v>
      </c>
      <c r="T233" s="39">
        <f t="shared" si="69"/>
        <v>1.7791277081372181E-2</v>
      </c>
      <c r="U233" s="11">
        <f>[1]world_population_Raw_Data!H226</f>
        <v>12315</v>
      </c>
      <c r="V233" s="18">
        <f t="shared" si="70"/>
        <v>0.10102816271792579</v>
      </c>
      <c r="W233" s="39">
        <f t="shared" si="71"/>
        <v>1.9435341581896193E-2</v>
      </c>
      <c r="X233" s="11">
        <f>[1]world_population_Raw_Data!G226</f>
        <v>12668</v>
      </c>
      <c r="Y233" s="18">
        <f t="shared" si="58"/>
        <v>2.8664230613073487E-2</v>
      </c>
      <c r="Z233" s="39">
        <f t="shared" si="72"/>
        <v>1.4230856665815361E-2</v>
      </c>
      <c r="AA233" s="19">
        <f t="shared" si="59"/>
        <v>1.5887809635423446E-6</v>
      </c>
      <c r="AB233" s="45">
        <f t="shared" si="73"/>
        <v>1.2432598077424695E-2</v>
      </c>
      <c r="AC233" s="81">
        <f t="shared" si="75"/>
        <v>13984.180305602313</v>
      </c>
      <c r="AD233" s="81"/>
    </row>
    <row r="234" spans="2:30">
      <c r="B234" s="8">
        <f>[1]world_population_Raw_Data!B227</f>
        <v>226</v>
      </c>
      <c r="C234" s="9" t="str">
        <f>[1]world_population_Raw_Data!D227</f>
        <v>Wallis and Futuna</v>
      </c>
      <c r="D234" s="10" t="str">
        <f>[1]world_population_Raw_Data!F227</f>
        <v>Oceania</v>
      </c>
      <c r="E234" s="11">
        <f>[1]world_population_Raw_Data!N227</f>
        <v>9377</v>
      </c>
      <c r="F234" s="11">
        <f>[1]world_population_Raw_Data!M227</f>
        <v>11315</v>
      </c>
      <c r="G234" s="18">
        <f t="shared" si="60"/>
        <v>0.20667590913938361</v>
      </c>
      <c r="H234" s="39">
        <f t="shared" si="61"/>
        <v>1.0189645245648082</v>
      </c>
      <c r="I234" s="11">
        <f>[1]world_population_Raw_Data!L227</f>
        <v>13454</v>
      </c>
      <c r="J234" s="18">
        <f t="shared" si="62"/>
        <v>0.18904109589041096</v>
      </c>
      <c r="K234" s="39">
        <f t="shared" si="63"/>
        <v>1.0174654866975827</v>
      </c>
      <c r="L234" s="11">
        <f>[1]world_population_Raw_Data!K227</f>
        <v>14723</v>
      </c>
      <c r="M234" s="18">
        <f t="shared" si="64"/>
        <v>9.4321391407759775E-2</v>
      </c>
      <c r="N234" s="39">
        <f t="shared" si="65"/>
        <v>9.0541871326978995E-3</v>
      </c>
      <c r="O234" s="11">
        <f>[1]world_population_Raw_Data!J227</f>
        <v>13142</v>
      </c>
      <c r="P234" s="18">
        <f t="shared" si="66"/>
        <v>-0.10738300618080554</v>
      </c>
      <c r="Q234" s="39">
        <f t="shared" si="67"/>
        <v>-1.1295490293417476E-2</v>
      </c>
      <c r="R234" s="11">
        <f>[1]world_population_Raw_Data!I227</f>
        <v>12182</v>
      </c>
      <c r="S234" s="18">
        <f t="shared" si="68"/>
        <v>-7.3048242276670214E-2</v>
      </c>
      <c r="T234" s="39">
        <f t="shared" si="69"/>
        <v>-1.5056255094719861E-2</v>
      </c>
      <c r="U234" s="11">
        <f>[1]world_population_Raw_Data!H227</f>
        <v>11655</v>
      </c>
      <c r="V234" s="18">
        <f t="shared" si="70"/>
        <v>-4.3260548350024623E-2</v>
      </c>
      <c r="W234" s="39">
        <f t="shared" si="71"/>
        <v>-8.8058354925329985E-3</v>
      </c>
      <c r="X234" s="11">
        <f>[1]world_population_Raw_Data!G227</f>
        <v>11572</v>
      </c>
      <c r="Y234" s="18">
        <f t="shared" si="58"/>
        <v>-7.1214071214071211E-3</v>
      </c>
      <c r="Z234" s="39">
        <f t="shared" si="72"/>
        <v>-3.5670655389832273E-3</v>
      </c>
      <c r="AA234" s="19">
        <f t="shared" si="59"/>
        <v>1.451324069317336E-6</v>
      </c>
      <c r="AB234" s="45">
        <f t="shared" si="73"/>
        <v>4.0529700944904601E-3</v>
      </c>
      <c r="AC234" s="81">
        <f t="shared" si="75"/>
        <v>11952.573592778386</v>
      </c>
      <c r="AD234" s="81"/>
    </row>
    <row r="235" spans="2:30">
      <c r="B235" s="8">
        <f>[1]world_population_Raw_Data!B228</f>
        <v>227</v>
      </c>
      <c r="C235" s="9" t="str">
        <f>[1]world_population_Raw_Data!D228</f>
        <v>Tuvalu</v>
      </c>
      <c r="D235" s="10" t="str">
        <f>[1]world_population_Raw_Data!F228</f>
        <v>Oceania</v>
      </c>
      <c r="E235" s="11">
        <f>[1]world_population_Raw_Data!N228</f>
        <v>5814</v>
      </c>
      <c r="F235" s="11">
        <f>[1]world_population_Raw_Data!M228</f>
        <v>7731</v>
      </c>
      <c r="G235" s="18">
        <f t="shared" si="60"/>
        <v>0.32972136222910214</v>
      </c>
      <c r="H235" s="39">
        <f t="shared" si="61"/>
        <v>1.0289068642474886</v>
      </c>
      <c r="I235" s="11">
        <f>[1]world_population_Raw_Data!L228</f>
        <v>9182</v>
      </c>
      <c r="J235" s="18">
        <f t="shared" si="62"/>
        <v>0.18768593972319234</v>
      </c>
      <c r="K235" s="39">
        <f t="shared" si="63"/>
        <v>1.0173494661244593</v>
      </c>
      <c r="L235" s="11">
        <f>[1]world_population_Raw_Data!K228</f>
        <v>9638</v>
      </c>
      <c r="M235" s="18">
        <f t="shared" si="64"/>
        <v>4.9662382923110433E-2</v>
      </c>
      <c r="N235" s="39">
        <f t="shared" si="65"/>
        <v>4.858622251758371E-3</v>
      </c>
      <c r="O235" s="11">
        <f>[1]world_population_Raw_Data!J228</f>
        <v>10550</v>
      </c>
      <c r="P235" s="18">
        <f t="shared" si="66"/>
        <v>9.462544096285537E-2</v>
      </c>
      <c r="Q235" s="39">
        <f t="shared" si="67"/>
        <v>9.0822194938036116E-3</v>
      </c>
      <c r="R235" s="11">
        <f>[1]world_population_Raw_Data!I228</f>
        <v>10877</v>
      </c>
      <c r="S235" s="18">
        <f t="shared" si="68"/>
        <v>3.0995260663507111E-2</v>
      </c>
      <c r="T235" s="39">
        <f t="shared" si="69"/>
        <v>6.123594651785913E-3</v>
      </c>
      <c r="U235" s="11">
        <f>[1]world_population_Raw_Data!H228</f>
        <v>11069</v>
      </c>
      <c r="V235" s="18">
        <f t="shared" si="70"/>
        <v>1.765192608255953E-2</v>
      </c>
      <c r="W235" s="39">
        <f t="shared" si="71"/>
        <v>3.505718766208421E-3</v>
      </c>
      <c r="X235" s="11">
        <f>[1]world_population_Raw_Data!G228</f>
        <v>11312</v>
      </c>
      <c r="Y235" s="18">
        <f t="shared" si="58"/>
        <v>2.1953202637998014E-2</v>
      </c>
      <c r="Z235" s="39">
        <f t="shared" si="72"/>
        <v>1.0917010757064194E-2</v>
      </c>
      <c r="AA235" s="19">
        <f t="shared" si="59"/>
        <v>1.4187156820011844E-6</v>
      </c>
      <c r="AB235" s="45">
        <f t="shared" si="73"/>
        <v>1.2882179234404489E-2</v>
      </c>
      <c r="AC235" s="81">
        <f t="shared" si="75"/>
        <v>12531.724475316089</v>
      </c>
      <c r="AD235" s="81"/>
    </row>
    <row r="236" spans="2:30">
      <c r="B236" s="8">
        <f>[1]world_population_Raw_Data!B229</f>
        <v>228</v>
      </c>
      <c r="C236" s="9" t="str">
        <f>[1]world_population_Raw_Data!D229</f>
        <v>Saint Barthelemy</v>
      </c>
      <c r="D236" s="10" t="str">
        <f>[1]world_population_Raw_Data!F229</f>
        <v>North America</v>
      </c>
      <c r="E236" s="11">
        <f>[1]world_population_Raw_Data!N229</f>
        <v>2417</v>
      </c>
      <c r="F236" s="11">
        <f>[1]world_population_Raw_Data!M229</f>
        <v>2983</v>
      </c>
      <c r="G236" s="18">
        <f t="shared" si="60"/>
        <v>0.2341745966073645</v>
      </c>
      <c r="H236" s="39">
        <f t="shared" si="61"/>
        <v>1.0212631468289388</v>
      </c>
      <c r="I236" s="11">
        <f>[1]world_population_Raw_Data!L229</f>
        <v>5168</v>
      </c>
      <c r="J236" s="18">
        <f t="shared" si="62"/>
        <v>0.73248407643312097</v>
      </c>
      <c r="K236" s="39">
        <f t="shared" si="63"/>
        <v>1.0564937328825577</v>
      </c>
      <c r="L236" s="11">
        <f>[1]world_population_Raw_Data!K229</f>
        <v>7082</v>
      </c>
      <c r="M236" s="18">
        <f t="shared" si="64"/>
        <v>0.37035603715170279</v>
      </c>
      <c r="N236" s="39">
        <f t="shared" si="65"/>
        <v>3.200866023107718E-2</v>
      </c>
      <c r="O236" s="11">
        <f>[1]world_population_Raw_Data!J229</f>
        <v>8988</v>
      </c>
      <c r="P236" s="18">
        <f t="shared" si="66"/>
        <v>0.2691330132730867</v>
      </c>
      <c r="Q236" s="39">
        <f t="shared" si="67"/>
        <v>2.4119685402612001E-2</v>
      </c>
      <c r="R236" s="11">
        <f>[1]world_population_Raw_Data!I229</f>
        <v>9643</v>
      </c>
      <c r="S236" s="18">
        <f t="shared" si="68"/>
        <v>7.2874944370271477E-2</v>
      </c>
      <c r="T236" s="39">
        <f t="shared" si="69"/>
        <v>1.4167807229158003E-2</v>
      </c>
      <c r="U236" s="11">
        <f>[1]world_population_Raw_Data!H229</f>
        <v>10681</v>
      </c>
      <c r="V236" s="18">
        <f t="shared" si="70"/>
        <v>0.10764284973555947</v>
      </c>
      <c r="W236" s="39">
        <f t="shared" si="71"/>
        <v>2.0657308368450922E-2</v>
      </c>
      <c r="X236" s="11">
        <f>[1]world_population_Raw_Data!G229</f>
        <v>10967</v>
      </c>
      <c r="Y236" s="18">
        <f t="shared" si="58"/>
        <v>2.6776519052523172E-2</v>
      </c>
      <c r="Z236" s="39">
        <f t="shared" si="72"/>
        <v>1.3299816960667954E-2</v>
      </c>
      <c r="AA236" s="19">
        <f t="shared" si="59"/>
        <v>1.3754468603701368E-6</v>
      </c>
      <c r="AB236" s="45">
        <f t="shared" si="73"/>
        <v>2.9510983889123876E-2</v>
      </c>
      <c r="AC236" s="81">
        <f>X236*(1+AB236)^8</f>
        <v>13839.988183588262</v>
      </c>
      <c r="AD236" s="81"/>
    </row>
    <row r="237" spans="2:30">
      <c r="B237" s="8">
        <f>[1]world_population_Raw_Data!B230</f>
        <v>229</v>
      </c>
      <c r="C237" s="9" t="str">
        <f>[1]world_population_Raw_Data!D230</f>
        <v>Saint Pierre and Miquelon</v>
      </c>
      <c r="D237" s="10" t="str">
        <f>[1]world_population_Raw_Data!F230</f>
        <v>North America</v>
      </c>
      <c r="E237" s="11">
        <f>[1]world_population_Raw_Data!N230</f>
        <v>5537</v>
      </c>
      <c r="F237" s="11">
        <f>[1]world_population_Raw_Data!M230</f>
        <v>6106</v>
      </c>
      <c r="G237" s="18">
        <f t="shared" si="60"/>
        <v>0.1027632291854795</v>
      </c>
      <c r="H237" s="39">
        <f t="shared" si="61"/>
        <v>1.0098299048665138</v>
      </c>
      <c r="I237" s="11">
        <f>[1]world_population_Raw_Data!L230</f>
        <v>6324</v>
      </c>
      <c r="J237" s="18">
        <f t="shared" si="62"/>
        <v>3.5702587618735668E-2</v>
      </c>
      <c r="K237" s="39">
        <f t="shared" si="63"/>
        <v>1.0035141627455113</v>
      </c>
      <c r="L237" s="11">
        <f>[1]world_population_Raw_Data!K230</f>
        <v>6274</v>
      </c>
      <c r="M237" s="18">
        <f t="shared" si="64"/>
        <v>-7.906388361796331E-3</v>
      </c>
      <c r="N237" s="39">
        <f t="shared" si="65"/>
        <v>-7.9346599711149768E-4</v>
      </c>
      <c r="O237" s="11">
        <f>[1]world_population_Raw_Data!J230</f>
        <v>6052</v>
      </c>
      <c r="P237" s="18">
        <f t="shared" si="66"/>
        <v>-3.5384124960153016E-2</v>
      </c>
      <c r="Q237" s="39">
        <f t="shared" si="67"/>
        <v>-3.5960500534523154E-3</v>
      </c>
      <c r="R237" s="11">
        <f>[1]world_population_Raw_Data!I230</f>
        <v>5978</v>
      </c>
      <c r="S237" s="18">
        <f t="shared" si="68"/>
        <v>-1.2227362855254461E-2</v>
      </c>
      <c r="T237" s="39">
        <f t="shared" si="69"/>
        <v>-2.4575217498309376E-3</v>
      </c>
      <c r="U237" s="11">
        <f>[1]world_population_Raw_Data!H230</f>
        <v>5906</v>
      </c>
      <c r="V237" s="18">
        <f t="shared" si="70"/>
        <v>-1.2044161927065908E-2</v>
      </c>
      <c r="W237" s="39">
        <f t="shared" si="71"/>
        <v>-2.42052190902875E-3</v>
      </c>
      <c r="X237" s="11">
        <f>[1]world_population_Raw_Data!G230</f>
        <v>5862</v>
      </c>
      <c r="Y237" s="18">
        <f t="shared" si="58"/>
        <v>-7.4500507958008806E-3</v>
      </c>
      <c r="Z237" s="39">
        <f t="shared" si="72"/>
        <v>-3.731989269855629E-3</v>
      </c>
      <c r="AA237" s="19">
        <f t="shared" si="59"/>
        <v>7.3519371710492773E-7</v>
      </c>
      <c r="AB237" s="45">
        <f t="shared" si="73"/>
        <v>1.0974864989583555E-3</v>
      </c>
      <c r="AC237" s="81">
        <f t="shared" ref="AC237:AC239" si="76">X237*(1+AB237)^8</f>
        <v>5913.6658593664379</v>
      </c>
      <c r="AD237" s="81"/>
    </row>
    <row r="238" spans="2:30">
      <c r="B238" s="8">
        <f>[1]world_population_Raw_Data!B231</f>
        <v>230</v>
      </c>
      <c r="C238" s="9" t="str">
        <f>[1]world_population_Raw_Data!D231</f>
        <v>Montserrat</v>
      </c>
      <c r="D238" s="10" t="str">
        <f>[1]world_population_Raw_Data!F231</f>
        <v>North America</v>
      </c>
      <c r="E238" s="11">
        <f>[1]world_population_Raw_Data!N231</f>
        <v>11402</v>
      </c>
      <c r="F238" s="11">
        <f>[1]world_population_Raw_Data!M231</f>
        <v>11452</v>
      </c>
      <c r="G238" s="18">
        <f t="shared" si="60"/>
        <v>4.3851955797228554E-3</v>
      </c>
      <c r="H238" s="39">
        <f t="shared" si="61"/>
        <v>1.0004376566063662</v>
      </c>
      <c r="I238" s="11">
        <f>[1]world_population_Raw_Data!L231</f>
        <v>10805</v>
      </c>
      <c r="J238" s="18">
        <f t="shared" si="62"/>
        <v>-5.6496681802305271E-2</v>
      </c>
      <c r="K238" s="39">
        <f t="shared" si="63"/>
        <v>0.9942013377903185</v>
      </c>
      <c r="L238" s="11">
        <f>[1]world_population_Raw_Data!K231</f>
        <v>5138</v>
      </c>
      <c r="M238" s="18">
        <f t="shared" si="64"/>
        <v>-0.52447940768162893</v>
      </c>
      <c r="N238" s="39">
        <f t="shared" si="65"/>
        <v>-7.1638903364700357E-2</v>
      </c>
      <c r="O238" s="11">
        <f>[1]world_population_Raw_Data!J231</f>
        <v>4938</v>
      </c>
      <c r="P238" s="18">
        <f t="shared" si="66"/>
        <v>-3.8925652004671081E-2</v>
      </c>
      <c r="Q238" s="39">
        <f t="shared" si="67"/>
        <v>-3.9624793547072823E-3</v>
      </c>
      <c r="R238" s="11">
        <f>[1]world_population_Raw_Data!I231</f>
        <v>5059</v>
      </c>
      <c r="S238" s="18">
        <f t="shared" si="68"/>
        <v>2.450384771162414E-2</v>
      </c>
      <c r="T238" s="39">
        <f t="shared" si="69"/>
        <v>4.853428792312986E-3</v>
      </c>
      <c r="U238" s="11">
        <f>[1]world_population_Raw_Data!H231</f>
        <v>4500</v>
      </c>
      <c r="V238" s="18">
        <f t="shared" si="70"/>
        <v>-0.1104961454832971</v>
      </c>
      <c r="W238" s="39">
        <f t="shared" si="71"/>
        <v>-2.3146207628655824E-2</v>
      </c>
      <c r="X238" s="11">
        <f>[1]world_population_Raw_Data!G231</f>
        <v>4390</v>
      </c>
      <c r="Y238" s="18">
        <f t="shared" si="58"/>
        <v>-2.4444444444444446E-2</v>
      </c>
      <c r="Z238" s="39">
        <f t="shared" si="72"/>
        <v>-1.2297840664729831E-2</v>
      </c>
      <c r="AA238" s="19">
        <f t="shared" si="59"/>
        <v>5.5058007814579196E-7</v>
      </c>
      <c r="AB238" s="45">
        <f t="shared" si="73"/>
        <v>-1.8187564459376304E-2</v>
      </c>
      <c r="AC238" s="81">
        <f t="shared" si="76"/>
        <v>3790.4672485894012</v>
      </c>
      <c r="AD238" s="81"/>
    </row>
    <row r="239" spans="2:30">
      <c r="B239" s="8">
        <f>[1]world_population_Raw_Data!B232</f>
        <v>231</v>
      </c>
      <c r="C239" s="9" t="str">
        <f>[1]world_population_Raw_Data!D232</f>
        <v>Falkland Islands</v>
      </c>
      <c r="D239" s="10" t="str">
        <f>[1]world_population_Raw_Data!F232</f>
        <v>South America</v>
      </c>
      <c r="E239" s="11">
        <f>[1]world_population_Raw_Data!N232</f>
        <v>2274</v>
      </c>
      <c r="F239" s="11">
        <f>[1]world_population_Raw_Data!M232</f>
        <v>2240</v>
      </c>
      <c r="G239" s="18">
        <f t="shared" si="60"/>
        <v>-1.4951627088830254E-2</v>
      </c>
      <c r="H239" s="39">
        <f t="shared" si="61"/>
        <v>0.99849468118452356</v>
      </c>
      <c r="I239" s="11">
        <f>[1]world_population_Raw_Data!L232</f>
        <v>2332</v>
      </c>
      <c r="J239" s="18">
        <f t="shared" si="62"/>
        <v>4.1071428571428571E-2</v>
      </c>
      <c r="K239" s="39">
        <f t="shared" si="63"/>
        <v>1.004033151615876</v>
      </c>
      <c r="L239" s="11">
        <f>[1]world_population_Raw_Data!K232</f>
        <v>3080</v>
      </c>
      <c r="M239" s="18">
        <f t="shared" si="64"/>
        <v>0.32075471698113206</v>
      </c>
      <c r="N239" s="39">
        <f t="shared" si="65"/>
        <v>2.8210932096907504E-2</v>
      </c>
      <c r="O239" s="11">
        <f>[1]world_population_Raw_Data!J232</f>
        <v>3187</v>
      </c>
      <c r="P239" s="18">
        <f t="shared" si="66"/>
        <v>3.4740259740259738E-2</v>
      </c>
      <c r="Q239" s="39">
        <f t="shared" si="67"/>
        <v>3.420881750879623E-3</v>
      </c>
      <c r="R239" s="11">
        <f>[1]world_population_Raw_Data!I232</f>
        <v>3408</v>
      </c>
      <c r="S239" s="18">
        <f t="shared" si="68"/>
        <v>6.9344210856604957E-2</v>
      </c>
      <c r="T239" s="39">
        <f t="shared" si="69"/>
        <v>1.3499420071874324E-2</v>
      </c>
      <c r="U239" s="11">
        <f>[1]world_population_Raw_Data!H232</f>
        <v>3747</v>
      </c>
      <c r="V239" s="18">
        <f t="shared" si="70"/>
        <v>9.9471830985915499E-2</v>
      </c>
      <c r="W239" s="39">
        <f t="shared" si="71"/>
        <v>1.9146978857919716E-2</v>
      </c>
      <c r="X239" s="11">
        <f>[1]world_population_Raw_Data!G232</f>
        <v>3780</v>
      </c>
      <c r="Y239" s="18">
        <f t="shared" si="58"/>
        <v>8.8070456365092076E-3</v>
      </c>
      <c r="Z239" s="39">
        <f t="shared" si="72"/>
        <v>4.3938697724659193E-3</v>
      </c>
      <c r="AA239" s="19">
        <f t="shared" si="59"/>
        <v>4.7407578482712844E-7</v>
      </c>
      <c r="AB239" s="45">
        <f t="shared" si="73"/>
        <v>9.8206711920509893E-3</v>
      </c>
      <c r="AC239" s="81">
        <f t="shared" si="76"/>
        <v>4087.3878728958343</v>
      </c>
      <c r="AD239" s="81"/>
    </row>
    <row r="241" spans="2:31">
      <c r="U241" s="16" t="s">
        <v>0</v>
      </c>
      <c r="V241" s="16"/>
      <c r="W241" s="42"/>
      <c r="X241" s="17">
        <f>SUM(X9:X239)</f>
        <v>7973408727</v>
      </c>
    </row>
    <row r="242" spans="2:31" ht="15" customHeight="1">
      <c r="B242" s="72"/>
      <c r="C242" s="72"/>
      <c r="D242" s="72"/>
      <c r="E242" s="72"/>
      <c r="F242" s="24"/>
      <c r="G242" s="24"/>
      <c r="I242" s="25"/>
      <c r="J242" s="25"/>
      <c r="K242" s="25"/>
      <c r="L242" s="25"/>
      <c r="M242" s="25"/>
      <c r="N242" s="25"/>
      <c r="O242" s="72"/>
      <c r="P242" s="72"/>
      <c r="Q242" s="72"/>
      <c r="R242" s="25"/>
      <c r="S242" s="25"/>
      <c r="T242" s="25"/>
      <c r="U242" s="25"/>
      <c r="V242" s="43"/>
      <c r="W242" s="43"/>
      <c r="X242" s="23"/>
      <c r="Y242" s="24"/>
      <c r="AA242" s="24"/>
      <c r="AB242" s="24"/>
      <c r="AC242" s="24"/>
      <c r="AD242" s="24"/>
      <c r="AE242" s="24"/>
    </row>
    <row r="243" spans="2:31">
      <c r="B243" s="24"/>
      <c r="C243" s="24"/>
      <c r="D243" s="24"/>
      <c r="E243" s="24"/>
      <c r="F243" s="24"/>
      <c r="G243" s="24"/>
      <c r="I243" s="24"/>
      <c r="J243" s="24"/>
      <c r="L243" s="24"/>
      <c r="M243" s="24"/>
      <c r="O243" s="24"/>
      <c r="P243" s="24"/>
      <c r="R243" s="24"/>
      <c r="S243" s="24"/>
      <c r="U243" s="24"/>
      <c r="V243" s="24"/>
      <c r="X243" s="24"/>
      <c r="Y243" s="24"/>
      <c r="Z243" s="77"/>
      <c r="AA243" s="77"/>
      <c r="AB243" s="77"/>
      <c r="AC243" s="77"/>
      <c r="AD243" s="24"/>
      <c r="AE243" s="24"/>
    </row>
    <row r="244" spans="2:31" ht="15" customHeight="1">
      <c r="B244" s="21"/>
      <c r="C244" s="36"/>
      <c r="D244" s="73"/>
      <c r="E244" s="78"/>
      <c r="F244" s="79"/>
      <c r="G244" s="37"/>
      <c r="H244" s="37"/>
      <c r="I244" s="20"/>
      <c r="J244" s="20"/>
      <c r="K244" s="20"/>
      <c r="L244" s="21"/>
      <c r="M244" s="21"/>
      <c r="N244" s="21"/>
      <c r="O244" s="54"/>
      <c r="P244" s="74"/>
      <c r="Q244" s="74"/>
      <c r="R244" s="73"/>
      <c r="S244" s="53"/>
      <c r="T244" s="53"/>
      <c r="U244" s="24"/>
      <c r="V244" s="24"/>
      <c r="X244" s="80"/>
      <c r="Y244" s="55"/>
      <c r="Z244" s="77"/>
      <c r="AA244" s="77"/>
      <c r="AB244" s="77"/>
      <c r="AC244" s="77"/>
      <c r="AD244" s="24"/>
      <c r="AE244" s="24"/>
    </row>
    <row r="245" spans="2:31">
      <c r="B245" s="21"/>
      <c r="C245" s="21"/>
      <c r="D245" s="73"/>
      <c r="E245" s="78"/>
      <c r="F245" s="79"/>
      <c r="G245" s="37"/>
      <c r="H245" s="37"/>
      <c r="I245" s="22"/>
      <c r="J245" s="22"/>
      <c r="K245" s="22"/>
      <c r="L245" s="21"/>
      <c r="M245" s="21"/>
      <c r="N245" s="21"/>
      <c r="O245" s="54"/>
      <c r="P245" s="74"/>
      <c r="Q245" s="74"/>
      <c r="R245" s="73"/>
      <c r="S245" s="53"/>
      <c r="T245" s="53"/>
      <c r="U245" s="24"/>
      <c r="V245" s="24"/>
      <c r="X245" s="80"/>
      <c r="Y245" s="55"/>
      <c r="Z245" s="44"/>
      <c r="AA245" s="24"/>
      <c r="AB245" s="24"/>
      <c r="AC245" s="24"/>
      <c r="AD245" s="24"/>
      <c r="AE245" s="24"/>
    </row>
    <row r="246" spans="2:31">
      <c r="B246" s="21"/>
      <c r="C246" s="21"/>
      <c r="D246" s="73"/>
      <c r="E246" s="78"/>
      <c r="F246" s="37"/>
      <c r="G246" s="37"/>
      <c r="H246" s="37"/>
      <c r="I246" s="22"/>
      <c r="J246" s="22"/>
      <c r="K246" s="22"/>
      <c r="L246" s="21"/>
      <c r="M246" s="21"/>
      <c r="N246" s="21"/>
      <c r="O246" s="53"/>
      <c r="P246" s="53"/>
      <c r="Q246" s="53"/>
      <c r="R246" s="53"/>
      <c r="S246" s="53"/>
      <c r="T246" s="53"/>
      <c r="U246" s="24"/>
      <c r="V246" s="24"/>
      <c r="X246" s="44"/>
      <c r="Y246" s="44"/>
      <c r="Z246" s="44"/>
      <c r="AA246" s="24"/>
      <c r="AB246" s="24"/>
      <c r="AC246" s="24"/>
      <c r="AD246" s="24"/>
      <c r="AE246" s="24"/>
    </row>
    <row r="247" spans="2:31">
      <c r="B247" s="24"/>
      <c r="C247" s="24"/>
      <c r="D247" s="24"/>
      <c r="E247" s="24"/>
      <c r="F247" s="24"/>
      <c r="G247" s="24"/>
      <c r="I247" s="24"/>
      <c r="J247" s="24"/>
      <c r="L247" s="24"/>
      <c r="M247" s="24"/>
      <c r="O247" s="40"/>
      <c r="P247" s="41"/>
      <c r="Q247" s="49"/>
      <c r="R247" s="24"/>
      <c r="S247" s="24"/>
      <c r="U247" s="24"/>
      <c r="V247" s="24"/>
      <c r="X247" s="24"/>
      <c r="Y247" s="24"/>
      <c r="AA247" s="24"/>
      <c r="AB247" s="24"/>
      <c r="AC247" s="24"/>
      <c r="AD247" s="24"/>
      <c r="AE247" s="24"/>
    </row>
    <row r="248" spans="2:31">
      <c r="B248" s="40"/>
      <c r="C248" s="41"/>
      <c r="D248" s="56"/>
      <c r="E248" s="23"/>
      <c r="F248" s="24"/>
      <c r="G248" s="24"/>
      <c r="I248" s="40"/>
      <c r="J248" s="40"/>
      <c r="K248" s="40"/>
      <c r="L248" s="41"/>
      <c r="M248" s="41"/>
      <c r="N248" s="41"/>
      <c r="O248" s="40"/>
      <c r="P248" s="41"/>
      <c r="Q248" s="49"/>
      <c r="R248" s="57"/>
      <c r="S248" s="23"/>
      <c r="T248" s="23"/>
      <c r="U248" s="24"/>
      <c r="V248" s="24"/>
      <c r="X248" s="24"/>
      <c r="Y248" s="23"/>
      <c r="Z248" s="23"/>
      <c r="AA248" s="24"/>
      <c r="AB248" s="24"/>
      <c r="AC248" s="24"/>
      <c r="AD248" s="24"/>
      <c r="AE248" s="24"/>
    </row>
    <row r="249" spans="2:31">
      <c r="B249" s="40"/>
      <c r="C249" s="41"/>
      <c r="D249" s="56"/>
      <c r="E249" s="23"/>
      <c r="F249" s="24"/>
      <c r="G249" s="24"/>
      <c r="I249" s="40"/>
      <c r="J249" s="40"/>
      <c r="K249" s="40"/>
      <c r="L249" s="41"/>
      <c r="M249" s="41"/>
      <c r="N249" s="41"/>
      <c r="O249" s="40"/>
      <c r="P249" s="41"/>
      <c r="Q249" s="49"/>
      <c r="R249" s="23"/>
      <c r="S249" s="23"/>
      <c r="T249" s="23"/>
      <c r="U249" s="24"/>
      <c r="V249" s="24"/>
      <c r="X249" s="24"/>
      <c r="Y249" s="23"/>
      <c r="Z249" s="23"/>
      <c r="AA249" s="58"/>
      <c r="AB249" s="24"/>
      <c r="AC249" s="24"/>
      <c r="AD249" s="24"/>
      <c r="AE249" s="24"/>
    </row>
    <row r="250" spans="2:31">
      <c r="B250" s="40"/>
      <c r="C250" s="41"/>
      <c r="D250" s="56"/>
      <c r="E250" s="23"/>
      <c r="F250" s="24"/>
      <c r="G250" s="24"/>
      <c r="I250" s="40"/>
      <c r="J250" s="40"/>
      <c r="K250" s="40"/>
      <c r="L250" s="41"/>
      <c r="M250" s="41"/>
      <c r="N250" s="41"/>
      <c r="O250" s="40"/>
      <c r="P250" s="41"/>
      <c r="Q250" s="49"/>
      <c r="R250" s="23"/>
      <c r="S250" s="23"/>
      <c r="T250" s="23"/>
      <c r="U250" s="24"/>
      <c r="V250" s="24"/>
      <c r="X250" s="24"/>
      <c r="Y250" s="23"/>
      <c r="Z250" s="23"/>
      <c r="AA250" s="24"/>
      <c r="AB250" s="24"/>
      <c r="AC250" s="24"/>
      <c r="AD250" s="24"/>
      <c r="AE250" s="24"/>
    </row>
    <row r="251" spans="2:31">
      <c r="B251" s="40"/>
      <c r="C251" s="41"/>
      <c r="D251" s="56"/>
      <c r="E251" s="23"/>
      <c r="F251" s="24"/>
      <c r="G251" s="24"/>
      <c r="I251" s="40"/>
      <c r="J251" s="40"/>
      <c r="K251" s="40"/>
      <c r="L251" s="41"/>
      <c r="M251" s="41"/>
      <c r="N251" s="41"/>
      <c r="O251" s="40"/>
      <c r="P251" s="41"/>
      <c r="Q251" s="49"/>
      <c r="R251" s="23"/>
      <c r="S251" s="23"/>
      <c r="T251" s="23"/>
      <c r="U251" s="24"/>
      <c r="V251" s="24"/>
      <c r="X251" s="24"/>
      <c r="Y251" s="23"/>
      <c r="Z251" s="23"/>
      <c r="AA251" s="24"/>
      <c r="AB251" s="24"/>
      <c r="AC251" s="24"/>
      <c r="AD251" s="24"/>
      <c r="AE251" s="24"/>
    </row>
    <row r="252" spans="2:31">
      <c r="B252" s="40"/>
      <c r="C252" s="41"/>
      <c r="D252" s="56"/>
      <c r="E252" s="23"/>
      <c r="F252" s="24"/>
      <c r="G252" s="24"/>
      <c r="I252" s="40"/>
      <c r="J252" s="40"/>
      <c r="K252" s="40"/>
      <c r="L252" s="41"/>
      <c r="M252" s="41"/>
      <c r="N252" s="41"/>
      <c r="O252" s="40"/>
      <c r="P252" s="41"/>
      <c r="Q252" s="49"/>
      <c r="R252" s="23"/>
      <c r="S252" s="23"/>
      <c r="T252" s="23"/>
      <c r="U252" s="24"/>
      <c r="V252" s="24"/>
      <c r="X252" s="24"/>
      <c r="Y252" s="23"/>
      <c r="Z252" s="23"/>
      <c r="AA252" s="24"/>
      <c r="AB252" s="24"/>
      <c r="AC252" s="24"/>
      <c r="AD252" s="24"/>
      <c r="AE252" s="24"/>
    </row>
    <row r="253" spans="2:31">
      <c r="B253" s="40"/>
      <c r="C253" s="41"/>
      <c r="D253" s="56"/>
      <c r="E253" s="23"/>
      <c r="F253" s="24"/>
      <c r="G253" s="24"/>
      <c r="I253" s="40"/>
      <c r="J253" s="40"/>
      <c r="K253" s="40"/>
      <c r="L253" s="41"/>
      <c r="M253" s="41"/>
      <c r="N253" s="41"/>
      <c r="O253" s="40"/>
      <c r="P253" s="41"/>
      <c r="Q253" s="71"/>
      <c r="R253" s="23"/>
      <c r="S253" s="23"/>
      <c r="T253" s="23"/>
      <c r="U253" s="24"/>
      <c r="V253" s="24"/>
      <c r="X253" s="24"/>
      <c r="Y253" s="23"/>
      <c r="Z253" s="23"/>
      <c r="AA253" s="24"/>
      <c r="AB253" s="24"/>
      <c r="AC253" s="24"/>
      <c r="AD253" s="24"/>
      <c r="AE253" s="24"/>
    </row>
    <row r="254" spans="2:31">
      <c r="B254" s="40"/>
      <c r="C254" s="41"/>
      <c r="D254" s="56"/>
      <c r="E254" s="23"/>
      <c r="F254" s="24"/>
      <c r="G254" s="24"/>
      <c r="I254" s="40"/>
      <c r="J254" s="40"/>
      <c r="K254" s="40"/>
      <c r="L254" s="41"/>
      <c r="M254" s="41"/>
      <c r="N254" s="41"/>
      <c r="O254" s="40"/>
      <c r="P254" s="41"/>
      <c r="Q254" s="49"/>
      <c r="R254" s="23"/>
      <c r="S254" s="23"/>
      <c r="T254" s="23"/>
      <c r="U254" s="24"/>
      <c r="V254" s="24"/>
      <c r="X254" s="24"/>
      <c r="Y254" s="23"/>
      <c r="Z254" s="23"/>
      <c r="AA254" s="24"/>
      <c r="AB254" s="24"/>
      <c r="AC254" s="24"/>
      <c r="AD254" s="24"/>
      <c r="AE254" s="24"/>
    </row>
    <row r="255" spans="2:31">
      <c r="B255" s="40"/>
      <c r="C255" s="41"/>
      <c r="D255" s="56"/>
      <c r="E255" s="23"/>
      <c r="F255" s="24"/>
      <c r="G255" s="24"/>
      <c r="I255" s="40"/>
      <c r="J255" s="40"/>
      <c r="K255" s="40"/>
      <c r="L255" s="41"/>
      <c r="M255" s="41"/>
      <c r="N255" s="41"/>
      <c r="O255" s="40"/>
      <c r="P255" s="41"/>
      <c r="Q255" s="49"/>
      <c r="R255" s="23"/>
      <c r="S255" s="23"/>
      <c r="T255" s="23"/>
      <c r="U255" s="24"/>
      <c r="V255" s="24"/>
      <c r="X255" s="24"/>
      <c r="Y255" s="23"/>
      <c r="Z255" s="23"/>
      <c r="AA255" s="24"/>
      <c r="AB255" s="24"/>
      <c r="AC255" s="24"/>
      <c r="AD255" s="24"/>
      <c r="AE255" s="24"/>
    </row>
    <row r="256" spans="2:31">
      <c r="B256" s="40"/>
      <c r="C256" s="41"/>
      <c r="D256" s="56"/>
      <c r="E256" s="23"/>
      <c r="F256" s="24"/>
      <c r="G256" s="24"/>
      <c r="I256" s="40"/>
      <c r="J256" s="40"/>
      <c r="K256" s="40"/>
      <c r="L256" s="41"/>
      <c r="M256" s="41"/>
      <c r="N256" s="41"/>
      <c r="O256" s="40"/>
      <c r="P256" s="41"/>
      <c r="Q256" s="49"/>
      <c r="R256" s="23"/>
      <c r="S256" s="23"/>
      <c r="T256" s="23"/>
      <c r="U256" s="24"/>
      <c r="V256" s="24"/>
      <c r="X256" s="24"/>
      <c r="Y256" s="23"/>
      <c r="Z256" s="23"/>
      <c r="AA256" s="24"/>
      <c r="AB256" s="24"/>
      <c r="AC256" s="24"/>
      <c r="AD256" s="24"/>
      <c r="AE256" s="24"/>
    </row>
    <row r="257" spans="2:31">
      <c r="B257" s="65"/>
      <c r="C257" s="66"/>
      <c r="D257" s="60"/>
      <c r="E257" s="67"/>
      <c r="F257" s="24"/>
      <c r="G257" s="24"/>
      <c r="I257" s="40"/>
      <c r="J257" s="40"/>
      <c r="K257" s="40"/>
      <c r="L257" s="41"/>
      <c r="M257" s="41"/>
      <c r="N257" s="41"/>
      <c r="O257" s="23"/>
      <c r="P257" s="23"/>
      <c r="Q257" s="23"/>
      <c r="R257" s="23"/>
      <c r="S257" s="23"/>
      <c r="T257" s="23"/>
      <c r="U257" s="24"/>
      <c r="V257" s="24"/>
      <c r="X257" s="24"/>
      <c r="Y257" s="23"/>
      <c r="Z257" s="23"/>
      <c r="AA257" s="24"/>
      <c r="AB257" s="24"/>
      <c r="AC257" s="24"/>
      <c r="AD257" s="24"/>
      <c r="AE257" s="24"/>
    </row>
    <row r="258" spans="2:31">
      <c r="B258" s="61"/>
      <c r="C258" s="61"/>
      <c r="D258" s="61"/>
      <c r="E258" s="61"/>
      <c r="F258" s="24"/>
      <c r="G258" s="24"/>
      <c r="I258" s="24"/>
      <c r="J258" s="24"/>
      <c r="L258" s="24"/>
      <c r="M258" s="24"/>
      <c r="O258" s="24"/>
      <c r="P258" s="24"/>
      <c r="R258" s="24"/>
      <c r="S258" s="24"/>
      <c r="U258" s="24"/>
      <c r="V258" s="24"/>
      <c r="X258" s="24"/>
      <c r="Y258" s="24"/>
      <c r="AA258" s="24"/>
      <c r="AB258" s="24"/>
      <c r="AC258" s="24"/>
      <c r="AD258" s="24"/>
      <c r="AE258" s="24"/>
    </row>
    <row r="259" spans="2:31">
      <c r="B259" s="61"/>
      <c r="C259" s="68"/>
      <c r="D259" s="62"/>
      <c r="E259" s="62"/>
      <c r="F259" s="24"/>
      <c r="G259" s="24"/>
      <c r="I259" s="24"/>
      <c r="J259" s="24"/>
      <c r="L259" s="24"/>
      <c r="M259" s="24"/>
      <c r="O259" s="24"/>
      <c r="P259" s="24"/>
      <c r="R259" s="24"/>
      <c r="S259" s="24"/>
      <c r="U259" s="24"/>
      <c r="V259" s="24"/>
      <c r="X259" s="24"/>
      <c r="Y259" s="24"/>
      <c r="AA259" s="24"/>
      <c r="AB259" s="24"/>
      <c r="AC259" s="24"/>
      <c r="AD259" s="24"/>
      <c r="AE259" s="24"/>
    </row>
    <row r="260" spans="2:31">
      <c r="B260" s="61"/>
      <c r="C260" s="68"/>
      <c r="D260" s="62"/>
      <c r="E260" s="62"/>
      <c r="F260" s="24"/>
      <c r="G260" s="24"/>
      <c r="I260" s="24"/>
      <c r="J260" s="24"/>
      <c r="L260" s="24"/>
      <c r="M260" s="24"/>
      <c r="O260" s="72"/>
      <c r="P260" s="72"/>
      <c r="Q260" s="72"/>
      <c r="R260" s="24"/>
      <c r="S260" s="24"/>
      <c r="U260" s="24"/>
      <c r="V260" s="24"/>
      <c r="X260" s="24"/>
      <c r="Y260" s="24"/>
      <c r="AA260" s="24"/>
      <c r="AB260" s="24"/>
      <c r="AC260" s="24"/>
      <c r="AD260" s="24"/>
      <c r="AE260" s="24"/>
    </row>
    <row r="261" spans="2:31">
      <c r="B261" s="64"/>
      <c r="C261" s="69"/>
      <c r="D261" s="63"/>
      <c r="E261" s="63"/>
      <c r="F261" s="24"/>
      <c r="G261" s="24"/>
      <c r="I261" s="24"/>
      <c r="J261" s="24"/>
      <c r="L261" s="24"/>
      <c r="M261" s="24"/>
      <c r="O261" s="24"/>
      <c r="P261" s="24"/>
      <c r="R261" s="24"/>
      <c r="S261" s="24"/>
      <c r="U261" s="24"/>
      <c r="V261" s="24"/>
      <c r="X261" s="24"/>
      <c r="Y261" s="24"/>
      <c r="AA261" s="24"/>
      <c r="AB261" s="24"/>
      <c r="AC261" s="24"/>
      <c r="AD261" s="24"/>
      <c r="AE261" s="24"/>
    </row>
    <row r="262" spans="2:31">
      <c r="B262" s="64"/>
      <c r="C262" s="69"/>
      <c r="D262" s="63"/>
      <c r="E262" s="63"/>
      <c r="F262" s="24"/>
      <c r="G262" s="24"/>
      <c r="I262" s="24"/>
      <c r="J262" s="24"/>
      <c r="L262" s="24"/>
      <c r="M262" s="24"/>
      <c r="O262" s="21"/>
      <c r="P262" s="73"/>
      <c r="Q262" s="74"/>
      <c r="R262" s="24"/>
      <c r="S262" s="24"/>
      <c r="U262" s="24"/>
      <c r="V262" s="24"/>
      <c r="X262" s="24"/>
      <c r="Y262" s="24"/>
      <c r="AA262" s="24"/>
      <c r="AB262" s="24"/>
      <c r="AC262" s="24"/>
      <c r="AD262" s="24"/>
      <c r="AE262" s="24"/>
    </row>
    <row r="263" spans="2:31">
      <c r="B263" s="64"/>
      <c r="C263" s="69"/>
      <c r="D263" s="64"/>
      <c r="E263" s="64"/>
      <c r="F263" s="24"/>
      <c r="G263" s="24"/>
      <c r="I263" s="24"/>
      <c r="J263" s="24"/>
      <c r="L263" s="24"/>
      <c r="M263" s="24"/>
      <c r="O263" s="24"/>
      <c r="P263" s="73"/>
      <c r="Q263" s="74"/>
      <c r="R263" s="24"/>
      <c r="S263" s="24"/>
      <c r="U263" s="24"/>
      <c r="V263" s="24"/>
      <c r="X263" s="24"/>
      <c r="Y263" s="24"/>
      <c r="AA263" s="24"/>
      <c r="AB263" s="24"/>
      <c r="AC263" s="24"/>
      <c r="AD263" s="24"/>
      <c r="AE263" s="24"/>
    </row>
    <row r="264" spans="2:31">
      <c r="B264" s="61"/>
      <c r="C264" s="61"/>
      <c r="D264" s="61"/>
      <c r="E264" s="61"/>
      <c r="F264" s="24"/>
      <c r="G264" s="24"/>
      <c r="I264" s="24"/>
      <c r="J264" s="24"/>
      <c r="L264" s="24"/>
      <c r="M264" s="24"/>
      <c r="O264" s="24"/>
      <c r="P264" s="24"/>
      <c r="R264" s="24"/>
      <c r="S264" s="24"/>
      <c r="U264" s="24"/>
      <c r="V264" s="24"/>
      <c r="X264" s="24"/>
      <c r="Y264" s="24"/>
      <c r="AA264" s="24"/>
      <c r="AB264" s="24"/>
      <c r="AC264" s="24"/>
      <c r="AD264" s="24"/>
      <c r="AE264" s="24"/>
    </row>
    <row r="265" spans="2:31">
      <c r="B265" s="75"/>
      <c r="C265" s="75"/>
      <c r="D265" s="75"/>
      <c r="E265" s="75"/>
      <c r="F265" s="24"/>
      <c r="G265" s="24"/>
      <c r="I265" s="24"/>
      <c r="J265" s="24"/>
      <c r="L265" s="24"/>
      <c r="M265" s="24"/>
      <c r="O265" s="40"/>
      <c r="P265" s="41"/>
      <c r="Q265" s="23"/>
      <c r="R265" s="24"/>
      <c r="S265" s="24"/>
      <c r="U265" s="24"/>
      <c r="V265" s="24"/>
      <c r="X265" s="24"/>
      <c r="Y265" s="24"/>
      <c r="AA265" s="24"/>
      <c r="AB265" s="24"/>
      <c r="AC265" s="24"/>
      <c r="AD265" s="24"/>
      <c r="AE265" s="24"/>
    </row>
    <row r="266" spans="2:31">
      <c r="B266" s="61"/>
      <c r="C266" s="61"/>
      <c r="D266" s="61"/>
      <c r="E266" s="61"/>
      <c r="F266" s="24"/>
      <c r="G266" s="24"/>
      <c r="I266" s="24"/>
      <c r="J266" s="24"/>
      <c r="L266" s="24"/>
      <c r="M266" s="24"/>
      <c r="O266" s="40"/>
      <c r="P266" s="41"/>
      <c r="Q266" s="23"/>
      <c r="R266" s="24"/>
      <c r="S266" s="24"/>
      <c r="U266" s="24"/>
      <c r="V266" s="24"/>
      <c r="X266" s="24"/>
      <c r="Y266" s="24"/>
      <c r="AA266" s="24"/>
      <c r="AB266" s="24"/>
      <c r="AC266" s="24"/>
      <c r="AD266" s="24"/>
      <c r="AE266" s="24"/>
    </row>
    <row r="267" spans="2:31" ht="15" customHeight="1">
      <c r="B267" s="68"/>
      <c r="C267" s="70"/>
      <c r="D267" s="76"/>
      <c r="E267" s="76"/>
      <c r="F267" s="24"/>
      <c r="G267" s="24"/>
      <c r="I267" s="24"/>
      <c r="J267" s="24"/>
      <c r="L267" s="24"/>
      <c r="M267" s="24"/>
      <c r="O267" s="40"/>
      <c r="P267" s="41"/>
      <c r="Q267" s="23"/>
      <c r="R267" s="24"/>
      <c r="S267" s="24"/>
      <c r="U267" s="24"/>
      <c r="V267" s="24"/>
      <c r="X267" s="24"/>
      <c r="Y267" s="24"/>
      <c r="AA267" s="24"/>
      <c r="AB267" s="24"/>
      <c r="AC267" s="24"/>
      <c r="AD267" s="24"/>
      <c r="AE267" s="24"/>
    </row>
    <row r="268" spans="2:31">
      <c r="B268" s="68"/>
      <c r="C268" s="70"/>
      <c r="D268" s="76"/>
      <c r="E268" s="76"/>
      <c r="F268" s="24"/>
      <c r="G268" s="24"/>
      <c r="I268" s="24"/>
      <c r="J268" s="24"/>
      <c r="L268" s="24"/>
      <c r="M268" s="24"/>
      <c r="O268" s="40"/>
      <c r="P268" s="41"/>
      <c r="Q268" s="23"/>
      <c r="R268" s="24"/>
      <c r="S268" s="24"/>
      <c r="U268" s="24"/>
      <c r="V268" s="24"/>
      <c r="X268" s="24"/>
      <c r="Y268" s="24"/>
      <c r="AA268" s="24"/>
      <c r="AB268" s="24"/>
      <c r="AC268" s="24"/>
      <c r="AD268" s="24"/>
      <c r="AE268" s="24"/>
    </row>
    <row r="269" spans="2:31">
      <c r="B269" s="68"/>
      <c r="C269" s="70"/>
      <c r="D269" s="76"/>
      <c r="E269" s="76"/>
      <c r="F269" s="24"/>
      <c r="G269" s="24"/>
      <c r="I269" s="24"/>
      <c r="J269" s="24"/>
      <c r="L269" s="24"/>
      <c r="M269" s="24"/>
      <c r="O269" s="40"/>
      <c r="P269" s="41"/>
      <c r="Q269" s="23"/>
      <c r="R269" s="24"/>
      <c r="S269" s="24"/>
      <c r="U269" s="24"/>
      <c r="V269" s="24"/>
      <c r="X269" s="24"/>
      <c r="Y269" s="24"/>
      <c r="AA269" s="24"/>
      <c r="AB269" s="24"/>
      <c r="AC269" s="24"/>
      <c r="AD269" s="24"/>
      <c r="AE269" s="24"/>
    </row>
    <row r="270" spans="2:31">
      <c r="B270" s="61"/>
      <c r="C270" s="66"/>
      <c r="D270" s="61"/>
      <c r="E270" s="61"/>
      <c r="F270" s="24"/>
      <c r="G270" s="24"/>
      <c r="I270" s="24"/>
      <c r="J270" s="24"/>
      <c r="L270" s="24"/>
      <c r="M270" s="24"/>
      <c r="O270" s="40"/>
      <c r="P270" s="41"/>
      <c r="Q270" s="23"/>
      <c r="R270" s="24"/>
      <c r="S270" s="24"/>
      <c r="U270" s="24"/>
      <c r="V270" s="24"/>
      <c r="X270" s="24"/>
      <c r="Y270" s="24"/>
      <c r="AA270" s="24"/>
      <c r="AB270" s="24"/>
      <c r="AC270" s="24"/>
      <c r="AD270" s="24"/>
      <c r="AE270" s="24"/>
    </row>
    <row r="271" spans="2:31">
      <c r="B271" s="65"/>
      <c r="C271" s="66"/>
      <c r="D271" s="60"/>
      <c r="E271" s="60"/>
      <c r="F271" s="24"/>
      <c r="G271" s="24"/>
      <c r="I271" s="24"/>
      <c r="J271" s="24"/>
      <c r="L271" s="24"/>
      <c r="M271" s="24"/>
      <c r="O271" s="40"/>
      <c r="P271" s="41"/>
      <c r="Q271" s="23"/>
      <c r="R271" s="24"/>
      <c r="S271" s="24"/>
      <c r="U271" s="24"/>
      <c r="V271" s="24"/>
      <c r="X271" s="24"/>
      <c r="Y271" s="24"/>
      <c r="AA271" s="24"/>
      <c r="AB271" s="24"/>
      <c r="AC271" s="24"/>
      <c r="AD271" s="24"/>
      <c r="AE271" s="24"/>
    </row>
    <row r="272" spans="2:31">
      <c r="B272" s="65"/>
      <c r="C272" s="66"/>
      <c r="D272" s="60"/>
      <c r="E272" s="60"/>
      <c r="F272" s="24"/>
      <c r="G272" s="24"/>
      <c r="I272" s="24"/>
      <c r="J272" s="24"/>
      <c r="L272" s="24"/>
      <c r="M272" s="24"/>
      <c r="O272" s="40"/>
      <c r="P272" s="41"/>
      <c r="Q272" s="23"/>
      <c r="R272" s="24"/>
      <c r="S272" s="24"/>
      <c r="U272" s="24"/>
      <c r="V272" s="24"/>
      <c r="X272" s="24"/>
      <c r="Y272" s="24"/>
      <c r="AA272" s="24"/>
      <c r="AB272" s="24"/>
      <c r="AC272" s="24"/>
      <c r="AD272" s="24"/>
      <c r="AE272" s="24"/>
    </row>
    <row r="273" spans="2:31">
      <c r="B273" s="65"/>
      <c r="C273" s="66"/>
      <c r="D273" s="60"/>
      <c r="E273" s="60"/>
      <c r="F273" s="24"/>
      <c r="G273" s="24"/>
      <c r="I273" s="24"/>
      <c r="J273" s="24"/>
      <c r="L273" s="24"/>
      <c r="M273" s="24"/>
      <c r="O273" s="40"/>
      <c r="P273" s="41"/>
      <c r="Q273" s="23"/>
      <c r="R273" s="24"/>
      <c r="S273" s="24"/>
      <c r="U273" s="24"/>
      <c r="V273" s="24"/>
      <c r="X273" s="24"/>
      <c r="Y273" s="24"/>
      <c r="AA273" s="24"/>
      <c r="AB273" s="24"/>
      <c r="AC273" s="24"/>
      <c r="AD273" s="24"/>
      <c r="AE273" s="24"/>
    </row>
    <row r="274" spans="2:31">
      <c r="B274" s="65"/>
      <c r="C274" s="66"/>
      <c r="D274" s="60"/>
      <c r="E274" s="60"/>
      <c r="F274" s="24"/>
      <c r="G274" s="24"/>
      <c r="I274" s="24"/>
      <c r="J274" s="24"/>
      <c r="L274" s="24"/>
      <c r="M274" s="24"/>
      <c r="O274" s="40"/>
      <c r="P274" s="41"/>
      <c r="Q274" s="23"/>
      <c r="R274" s="24"/>
      <c r="S274" s="24"/>
      <c r="U274" s="24"/>
      <c r="V274" s="24"/>
      <c r="X274" s="24"/>
      <c r="Y274" s="24"/>
      <c r="AA274" s="24"/>
      <c r="AB274" s="24"/>
      <c r="AC274" s="24"/>
      <c r="AD274" s="24"/>
      <c r="AE274" s="24"/>
    </row>
    <row r="275" spans="2:31">
      <c r="B275" s="65"/>
      <c r="C275" s="66"/>
      <c r="D275" s="60"/>
      <c r="E275" s="60"/>
      <c r="F275" s="24"/>
      <c r="G275" s="24"/>
      <c r="I275" s="24"/>
      <c r="J275" s="24"/>
      <c r="L275" s="24"/>
      <c r="M275" s="24"/>
      <c r="O275" s="24"/>
      <c r="P275" s="24"/>
      <c r="R275" s="24"/>
      <c r="S275" s="24"/>
      <c r="U275" s="24"/>
      <c r="V275" s="24"/>
      <c r="X275" s="24"/>
      <c r="Y275" s="24"/>
      <c r="AA275" s="24"/>
      <c r="AB275" s="24"/>
      <c r="AC275" s="24"/>
      <c r="AD275" s="24"/>
      <c r="AE275" s="24"/>
    </row>
    <row r="276" spans="2:31">
      <c r="B276" s="65"/>
      <c r="C276" s="66"/>
      <c r="D276" s="60"/>
      <c r="E276" s="60"/>
      <c r="F276" s="24"/>
      <c r="G276" s="24"/>
      <c r="I276" s="24"/>
      <c r="J276" s="24"/>
      <c r="L276" s="24"/>
      <c r="M276" s="24"/>
      <c r="O276" s="24"/>
      <c r="P276" s="24"/>
      <c r="R276" s="24"/>
      <c r="S276" s="24"/>
      <c r="U276" s="24"/>
      <c r="V276" s="24"/>
      <c r="X276" s="24"/>
      <c r="Y276" s="24"/>
      <c r="AA276" s="24"/>
      <c r="AB276" s="24"/>
      <c r="AC276" s="24"/>
      <c r="AD276" s="24"/>
      <c r="AE276" s="24"/>
    </row>
    <row r="277" spans="2:31">
      <c r="B277" s="65"/>
      <c r="C277" s="66"/>
      <c r="D277" s="60"/>
      <c r="E277" s="60"/>
      <c r="F277" s="24"/>
      <c r="G277" s="24"/>
      <c r="I277" s="24"/>
      <c r="J277" s="24"/>
      <c r="L277" s="24"/>
      <c r="M277" s="24"/>
      <c r="O277" s="24"/>
      <c r="P277" s="24"/>
      <c r="R277" s="24"/>
      <c r="S277" s="24"/>
      <c r="U277" s="24"/>
      <c r="V277" s="24"/>
      <c r="X277" s="24"/>
      <c r="Y277" s="24"/>
      <c r="AA277" s="24"/>
      <c r="AB277" s="24"/>
      <c r="AC277" s="24"/>
      <c r="AD277" s="24"/>
      <c r="AE277" s="24"/>
    </row>
    <row r="278" spans="2:31">
      <c r="B278" s="65"/>
      <c r="C278" s="66"/>
      <c r="D278" s="60"/>
      <c r="E278" s="60"/>
      <c r="F278" s="24"/>
      <c r="G278" s="24"/>
      <c r="I278" s="24"/>
      <c r="J278" s="24"/>
      <c r="L278" s="24"/>
      <c r="M278" s="24"/>
      <c r="O278" s="24"/>
      <c r="P278" s="24"/>
      <c r="R278" s="24"/>
      <c r="S278" s="24"/>
      <c r="U278" s="24"/>
      <c r="V278" s="24"/>
      <c r="X278" s="24"/>
      <c r="Y278" s="24"/>
      <c r="AA278" s="24"/>
      <c r="AB278" s="24"/>
      <c r="AC278" s="24"/>
      <c r="AD278" s="24"/>
      <c r="AE278" s="24"/>
    </row>
    <row r="279" spans="2:31">
      <c r="B279" s="65"/>
      <c r="C279" s="66"/>
      <c r="D279" s="60"/>
      <c r="E279" s="60"/>
      <c r="F279" s="24"/>
      <c r="G279" s="24"/>
      <c r="I279" s="24"/>
      <c r="J279" s="24"/>
      <c r="L279" s="24"/>
      <c r="M279" s="24"/>
      <c r="O279" s="24"/>
      <c r="P279" s="24"/>
      <c r="R279" s="24"/>
      <c r="S279" s="24"/>
      <c r="U279" s="24"/>
      <c r="V279" s="24"/>
      <c r="X279" s="24"/>
      <c r="Y279" s="24"/>
      <c r="AA279" s="24"/>
      <c r="AB279" s="24"/>
      <c r="AC279" s="24"/>
      <c r="AD279" s="24"/>
      <c r="AE279" s="24"/>
    </row>
    <row r="280" spans="2:31">
      <c r="B280" s="40"/>
      <c r="C280" s="41"/>
      <c r="D280" s="56"/>
      <c r="E280" s="56"/>
      <c r="F280" s="24"/>
      <c r="G280" s="24"/>
      <c r="I280" s="24"/>
      <c r="J280" s="24"/>
      <c r="L280" s="24"/>
      <c r="M280" s="24"/>
      <c r="O280" s="24"/>
      <c r="P280" s="24"/>
      <c r="R280" s="24"/>
      <c r="S280" s="24"/>
      <c r="U280" s="24"/>
      <c r="V280" s="24"/>
      <c r="X280" s="24"/>
      <c r="Y280" s="24"/>
      <c r="AA280" s="24"/>
      <c r="AB280" s="24"/>
      <c r="AC280" s="24"/>
      <c r="AD280" s="24"/>
      <c r="AE280" s="24"/>
    </row>
    <row r="281" spans="2:31">
      <c r="B281" s="24"/>
      <c r="C281" s="24"/>
      <c r="D281" s="61"/>
      <c r="E281" s="61"/>
      <c r="F281" s="24"/>
      <c r="G281" s="24"/>
      <c r="I281" s="24"/>
      <c r="J281" s="24"/>
      <c r="L281" s="24"/>
      <c r="M281" s="24"/>
      <c r="O281" s="24"/>
      <c r="P281" s="24"/>
      <c r="R281" s="24"/>
      <c r="S281" s="24"/>
      <c r="U281" s="24"/>
      <c r="V281" s="24"/>
      <c r="X281" s="24"/>
      <c r="Y281" s="24"/>
      <c r="AA281" s="24"/>
      <c r="AB281" s="24"/>
      <c r="AC281" s="24"/>
      <c r="AD281" s="24"/>
      <c r="AE281" s="24"/>
    </row>
    <row r="282" spans="2:31">
      <c r="B282" s="24"/>
      <c r="C282" s="59"/>
      <c r="D282" s="63"/>
      <c r="E282" s="63"/>
      <c r="F282" s="24"/>
      <c r="G282" s="24"/>
      <c r="I282" s="24"/>
      <c r="J282" s="24"/>
      <c r="L282" s="24"/>
      <c r="M282" s="24"/>
      <c r="O282" s="24"/>
      <c r="P282" s="24"/>
      <c r="R282" s="24"/>
      <c r="S282" s="24"/>
      <c r="U282" s="24"/>
      <c r="V282" s="24"/>
      <c r="X282" s="24"/>
      <c r="Y282" s="24"/>
      <c r="AA282" s="24"/>
      <c r="AB282" s="24"/>
      <c r="AC282" s="24"/>
      <c r="AD282" s="24"/>
      <c r="AE282" s="24"/>
    </row>
    <row r="283" spans="2:31">
      <c r="B283" s="24"/>
      <c r="C283" s="59"/>
      <c r="D283" s="63"/>
      <c r="E283" s="63"/>
      <c r="F283" s="24"/>
      <c r="G283" s="24"/>
      <c r="I283" s="24"/>
      <c r="J283" s="24"/>
      <c r="L283" s="24"/>
      <c r="M283" s="24"/>
      <c r="O283" s="24"/>
      <c r="P283" s="24"/>
      <c r="R283" s="24"/>
      <c r="S283" s="24"/>
      <c r="U283" s="24"/>
      <c r="V283" s="24"/>
      <c r="X283" s="24"/>
      <c r="Y283" s="24"/>
      <c r="AA283" s="24"/>
      <c r="AB283" s="24"/>
      <c r="AC283" s="24"/>
      <c r="AD283" s="24"/>
      <c r="AE283" s="24"/>
    </row>
    <row r="284" spans="2:31">
      <c r="B284" s="24"/>
      <c r="C284" s="59"/>
      <c r="D284" s="63"/>
      <c r="E284" s="63"/>
      <c r="F284" s="24"/>
      <c r="G284" s="24"/>
      <c r="I284" s="24"/>
      <c r="J284" s="24"/>
      <c r="L284" s="24"/>
      <c r="M284" s="24"/>
      <c r="O284" s="24"/>
      <c r="P284" s="24"/>
      <c r="R284" s="24"/>
      <c r="S284" s="24"/>
      <c r="U284" s="24"/>
      <c r="V284" s="24"/>
      <c r="X284" s="24"/>
      <c r="Y284" s="24"/>
      <c r="AA284" s="24"/>
      <c r="AB284" s="24"/>
      <c r="AC284" s="24"/>
      <c r="AD284" s="24"/>
      <c r="AE284" s="24"/>
    </row>
    <row r="285" spans="2:31">
      <c r="B285" s="24"/>
      <c r="C285" s="59"/>
      <c r="D285" s="63"/>
      <c r="E285" s="63"/>
      <c r="F285" s="24"/>
      <c r="G285" s="24"/>
      <c r="I285" s="24"/>
      <c r="J285" s="24"/>
      <c r="L285" s="24"/>
      <c r="M285" s="24"/>
      <c r="O285" s="24"/>
      <c r="P285" s="24"/>
      <c r="R285" s="24"/>
      <c r="S285" s="24"/>
      <c r="U285" s="24"/>
      <c r="V285" s="24"/>
      <c r="X285" s="24"/>
      <c r="Y285" s="24"/>
      <c r="AA285" s="24"/>
      <c r="AB285" s="24"/>
      <c r="AC285" s="24"/>
      <c r="AD285" s="24"/>
      <c r="AE285" s="24"/>
    </row>
    <row r="286" spans="2:31">
      <c r="B286" s="24"/>
      <c r="C286" s="24"/>
      <c r="D286" s="61"/>
      <c r="E286" s="61"/>
      <c r="F286" s="24"/>
      <c r="G286" s="24"/>
      <c r="I286" s="24"/>
      <c r="J286" s="24"/>
      <c r="L286" s="24"/>
      <c r="M286" s="24"/>
      <c r="O286" s="24"/>
      <c r="P286" s="24"/>
      <c r="R286" s="24"/>
      <c r="S286" s="24"/>
      <c r="U286" s="24"/>
      <c r="V286" s="24"/>
      <c r="X286" s="24"/>
      <c r="Y286" s="24"/>
      <c r="AA286" s="24"/>
      <c r="AB286" s="24"/>
      <c r="AC286" s="24"/>
      <c r="AD286" s="24"/>
      <c r="AE286" s="24"/>
    </row>
    <row r="287" spans="2:31">
      <c r="B287" s="24"/>
      <c r="C287" s="24"/>
      <c r="D287" s="61"/>
      <c r="E287" s="61"/>
      <c r="F287" s="24"/>
      <c r="G287" s="24"/>
      <c r="I287" s="24"/>
      <c r="J287" s="24"/>
      <c r="L287" s="24"/>
      <c r="M287" s="24"/>
      <c r="O287" s="24"/>
      <c r="P287" s="24"/>
      <c r="R287" s="24"/>
      <c r="S287" s="24"/>
      <c r="U287" s="24"/>
      <c r="V287" s="24"/>
      <c r="X287" s="24"/>
      <c r="Y287" s="24"/>
      <c r="AA287" s="24"/>
      <c r="AB287" s="24"/>
      <c r="AC287" s="24"/>
      <c r="AD287" s="24"/>
      <c r="AE287" s="24"/>
    </row>
    <row r="288" spans="2:31">
      <c r="B288" s="24"/>
      <c r="C288" s="24"/>
      <c r="D288" s="61"/>
      <c r="E288" s="61"/>
      <c r="F288" s="24"/>
      <c r="G288" s="24"/>
      <c r="I288" s="24"/>
      <c r="J288" s="24"/>
      <c r="L288" s="24"/>
      <c r="M288" s="24"/>
      <c r="O288" s="24"/>
      <c r="P288" s="24"/>
      <c r="R288" s="24"/>
      <c r="S288" s="24"/>
      <c r="U288" s="24"/>
      <c r="V288" s="24"/>
      <c r="X288" s="24"/>
      <c r="Y288" s="24"/>
      <c r="AA288" s="24"/>
      <c r="AB288" s="24"/>
      <c r="AC288" s="24"/>
      <c r="AD288" s="24"/>
      <c r="AE288" s="24"/>
    </row>
    <row r="289" spans="2:31">
      <c r="B289" s="24"/>
      <c r="C289" s="24"/>
      <c r="D289" s="24"/>
      <c r="E289" s="24"/>
      <c r="F289" s="24"/>
      <c r="G289" s="24"/>
      <c r="I289" s="24"/>
      <c r="J289" s="24"/>
      <c r="L289" s="24"/>
      <c r="M289" s="24"/>
      <c r="O289" s="24"/>
      <c r="P289" s="24"/>
      <c r="R289" s="24"/>
      <c r="S289" s="24"/>
      <c r="U289" s="24"/>
      <c r="V289" s="24"/>
      <c r="X289" s="24"/>
      <c r="Y289" s="24"/>
      <c r="AA289" s="24"/>
      <c r="AB289" s="24"/>
      <c r="AC289" s="24"/>
      <c r="AD289" s="24"/>
      <c r="AE289" s="24"/>
    </row>
    <row r="290" spans="2:31">
      <c r="B290" s="24"/>
      <c r="C290" s="24"/>
      <c r="D290" s="24"/>
      <c r="E290" s="24"/>
      <c r="F290" s="24"/>
      <c r="G290" s="24"/>
      <c r="I290" s="24"/>
      <c r="J290" s="24"/>
      <c r="L290" s="24"/>
      <c r="M290" s="24"/>
      <c r="O290" s="24"/>
      <c r="P290" s="24"/>
      <c r="R290" s="24"/>
      <c r="S290" s="24"/>
      <c r="U290" s="24"/>
      <c r="V290" s="24"/>
      <c r="X290" s="24"/>
      <c r="Y290" s="24"/>
      <c r="AA290" s="24"/>
      <c r="AB290" s="24"/>
      <c r="AC290" s="24"/>
      <c r="AD290" s="24"/>
      <c r="AE290" s="24"/>
    </row>
    <row r="291" spans="2:31">
      <c r="B291" s="24"/>
      <c r="C291" s="24"/>
      <c r="D291" s="24"/>
      <c r="E291" s="24"/>
      <c r="F291" s="24"/>
      <c r="G291" s="24"/>
      <c r="I291" s="24"/>
      <c r="J291" s="24"/>
      <c r="L291" s="24"/>
      <c r="M291" s="24"/>
      <c r="O291" s="24"/>
      <c r="P291" s="24"/>
      <c r="R291" s="24"/>
      <c r="S291" s="24"/>
      <c r="U291" s="24"/>
      <c r="V291" s="24"/>
      <c r="X291" s="24"/>
      <c r="Y291" s="24"/>
      <c r="AA291" s="24"/>
      <c r="AB291" s="24"/>
      <c r="AC291" s="24"/>
      <c r="AD291" s="24"/>
      <c r="AE291" s="24"/>
    </row>
    <row r="292" spans="2:31">
      <c r="B292" s="24"/>
      <c r="C292" s="24"/>
      <c r="D292" s="24"/>
      <c r="E292" s="24"/>
      <c r="F292" s="24"/>
      <c r="G292" s="24"/>
      <c r="I292" s="24"/>
      <c r="J292" s="24"/>
      <c r="L292" s="24"/>
      <c r="M292" s="24"/>
      <c r="O292" s="24"/>
      <c r="P292" s="24"/>
      <c r="R292" s="24"/>
      <c r="S292" s="24"/>
      <c r="U292" s="24"/>
      <c r="V292" s="24"/>
      <c r="X292" s="24"/>
      <c r="Y292" s="24"/>
      <c r="AA292" s="24"/>
      <c r="AB292" s="24"/>
      <c r="AC292" s="24"/>
      <c r="AD292" s="24"/>
      <c r="AE292" s="24"/>
    </row>
    <row r="293" spans="2:31">
      <c r="B293" s="24"/>
      <c r="C293" s="24"/>
      <c r="D293" s="24"/>
      <c r="E293" s="24"/>
      <c r="F293" s="24"/>
      <c r="G293" s="24"/>
      <c r="I293" s="24"/>
      <c r="J293" s="24"/>
      <c r="L293" s="24"/>
      <c r="M293" s="24"/>
      <c r="O293" s="24"/>
      <c r="P293" s="24"/>
      <c r="R293" s="24"/>
      <c r="S293" s="24"/>
      <c r="U293" s="24"/>
      <c r="V293" s="24"/>
      <c r="X293" s="24"/>
      <c r="Y293" s="24"/>
      <c r="AA293" s="24"/>
      <c r="AB293" s="24"/>
      <c r="AC293" s="24"/>
      <c r="AD293" s="24"/>
      <c r="AE293" s="24"/>
    </row>
    <row r="294" spans="2:31">
      <c r="B294" s="24"/>
      <c r="C294" s="24"/>
      <c r="D294" s="24"/>
      <c r="E294" s="24"/>
      <c r="F294" s="24"/>
      <c r="G294" s="24"/>
      <c r="I294" s="24"/>
      <c r="J294" s="24"/>
      <c r="L294" s="24"/>
      <c r="M294" s="24"/>
      <c r="O294" s="24"/>
      <c r="P294" s="24"/>
      <c r="R294" s="24"/>
      <c r="S294" s="24"/>
      <c r="U294" s="24"/>
      <c r="V294" s="24"/>
      <c r="X294" s="24"/>
      <c r="Y294" s="24"/>
      <c r="AA294" s="24"/>
      <c r="AB294" s="24"/>
      <c r="AC294" s="24"/>
      <c r="AD294" s="24"/>
      <c r="AE294" s="24"/>
    </row>
    <row r="295" spans="2:31">
      <c r="B295" s="24"/>
      <c r="C295" s="24"/>
      <c r="D295" s="24"/>
      <c r="E295" s="24"/>
      <c r="F295" s="24"/>
      <c r="G295" s="24"/>
      <c r="I295" s="24"/>
      <c r="J295" s="24"/>
      <c r="L295" s="24"/>
      <c r="M295" s="24"/>
      <c r="O295" s="24"/>
      <c r="P295" s="24"/>
      <c r="R295" s="24"/>
      <c r="S295" s="24"/>
      <c r="U295" s="24"/>
      <c r="V295" s="24"/>
      <c r="X295" s="24"/>
      <c r="Y295" s="24"/>
      <c r="AA295" s="24"/>
      <c r="AB295" s="24"/>
      <c r="AC295" s="24"/>
      <c r="AD295" s="24"/>
      <c r="AE295" s="24"/>
    </row>
    <row r="296" spans="2:31">
      <c r="B296" s="24"/>
      <c r="C296" s="24"/>
      <c r="D296" s="24"/>
      <c r="E296" s="24"/>
      <c r="F296" s="24"/>
      <c r="G296" s="24"/>
      <c r="I296" s="24"/>
      <c r="J296" s="24"/>
      <c r="L296" s="24"/>
      <c r="M296" s="24"/>
      <c r="O296" s="24"/>
      <c r="P296" s="24"/>
      <c r="R296" s="24"/>
      <c r="S296" s="24"/>
      <c r="U296" s="24"/>
      <c r="V296" s="24"/>
      <c r="X296" s="24"/>
      <c r="Y296" s="24"/>
      <c r="AA296" s="24"/>
      <c r="AB296" s="24"/>
      <c r="AC296" s="24"/>
      <c r="AD296" s="24"/>
      <c r="AE296" s="24"/>
    </row>
    <row r="297" spans="2:31">
      <c r="B297" s="24"/>
      <c r="C297" s="24"/>
      <c r="D297" s="24"/>
      <c r="E297" s="24"/>
      <c r="F297" s="24"/>
      <c r="G297" s="24"/>
      <c r="I297" s="24"/>
      <c r="J297" s="24"/>
      <c r="L297" s="24"/>
      <c r="M297" s="24"/>
      <c r="O297" s="24"/>
      <c r="P297" s="24"/>
      <c r="R297" s="24"/>
      <c r="S297" s="24"/>
      <c r="U297" s="24"/>
      <c r="V297" s="24"/>
      <c r="X297" s="24"/>
      <c r="Y297" s="24"/>
      <c r="AA297" s="24"/>
      <c r="AB297" s="24"/>
      <c r="AC297" s="24"/>
      <c r="AD297" s="24"/>
      <c r="AE297" s="24"/>
    </row>
    <row r="298" spans="2:31">
      <c r="B298" s="24"/>
      <c r="C298" s="24"/>
      <c r="D298" s="24"/>
      <c r="E298" s="24"/>
      <c r="F298" s="24"/>
      <c r="G298" s="24"/>
      <c r="I298" s="24"/>
      <c r="J298" s="24"/>
      <c r="L298" s="24"/>
      <c r="M298" s="24"/>
      <c r="O298" s="24"/>
      <c r="P298" s="24"/>
      <c r="R298" s="24"/>
      <c r="S298" s="24"/>
      <c r="U298" s="24"/>
      <c r="V298" s="24"/>
      <c r="X298" s="24"/>
      <c r="Y298" s="24"/>
      <c r="AA298" s="24"/>
      <c r="AB298" s="24"/>
      <c r="AC298" s="24"/>
      <c r="AD298" s="24"/>
      <c r="AE298" s="24"/>
    </row>
    <row r="299" spans="2:31">
      <c r="B299" s="24"/>
      <c r="C299" s="24"/>
      <c r="D299" s="24"/>
      <c r="E299" s="24"/>
      <c r="F299" s="24"/>
      <c r="G299" s="24"/>
      <c r="I299" s="24"/>
      <c r="J299" s="24"/>
      <c r="L299" s="24"/>
      <c r="M299" s="24"/>
      <c r="O299" s="24"/>
      <c r="P299" s="24"/>
      <c r="R299" s="24"/>
      <c r="S299" s="24"/>
      <c r="U299" s="24"/>
      <c r="V299" s="24"/>
      <c r="X299" s="24"/>
      <c r="Y299" s="24"/>
      <c r="AA299" s="24"/>
      <c r="AB299" s="24"/>
      <c r="AC299" s="24"/>
      <c r="AD299" s="24"/>
      <c r="AE299" s="24"/>
    </row>
    <row r="300" spans="2:31">
      <c r="B300" s="24"/>
      <c r="C300" s="24"/>
      <c r="D300" s="24"/>
      <c r="E300" s="24"/>
      <c r="F300" s="24"/>
      <c r="G300" s="24"/>
      <c r="I300" s="24"/>
      <c r="J300" s="24"/>
      <c r="L300" s="24"/>
      <c r="M300" s="24"/>
      <c r="O300" s="24"/>
      <c r="P300" s="24"/>
      <c r="R300" s="24"/>
      <c r="S300" s="24"/>
      <c r="U300" s="24"/>
      <c r="V300" s="24"/>
      <c r="X300" s="24"/>
      <c r="Y300" s="24"/>
      <c r="AA300" s="24"/>
      <c r="AB300" s="24"/>
      <c r="AC300" s="24"/>
      <c r="AD300" s="24"/>
      <c r="AE300" s="24"/>
    </row>
    <row r="301" spans="2:31">
      <c r="B301" s="24"/>
      <c r="C301" s="24"/>
      <c r="D301" s="24"/>
      <c r="E301" s="24"/>
      <c r="F301" s="24"/>
      <c r="G301" s="24"/>
      <c r="I301" s="24"/>
      <c r="J301" s="24"/>
      <c r="L301" s="24"/>
      <c r="M301" s="24"/>
      <c r="O301" s="24"/>
      <c r="P301" s="24"/>
      <c r="R301" s="24"/>
      <c r="S301" s="24"/>
      <c r="U301" s="24"/>
      <c r="V301" s="24"/>
      <c r="X301" s="24"/>
      <c r="Y301" s="24"/>
      <c r="AA301" s="24"/>
      <c r="AB301" s="24"/>
      <c r="AC301" s="24"/>
      <c r="AD301" s="24"/>
      <c r="AE301" s="24"/>
    </row>
    <row r="302" spans="2:31">
      <c r="B302" s="24"/>
      <c r="C302" s="24"/>
      <c r="D302" s="24"/>
      <c r="E302" s="24"/>
      <c r="F302" s="24"/>
      <c r="G302" s="24"/>
      <c r="I302" s="24"/>
      <c r="J302" s="24"/>
      <c r="L302" s="24"/>
      <c r="M302" s="24"/>
      <c r="O302" s="24"/>
      <c r="P302" s="24"/>
      <c r="R302" s="24"/>
      <c r="S302" s="24"/>
      <c r="U302" s="24"/>
      <c r="V302" s="24"/>
      <c r="X302" s="24"/>
      <c r="Y302" s="24"/>
      <c r="AA302" s="24"/>
      <c r="AB302" s="24"/>
      <c r="AC302" s="24"/>
      <c r="AD302" s="24"/>
      <c r="AE302" s="24"/>
    </row>
    <row r="303" spans="2:31">
      <c r="B303" s="24"/>
      <c r="C303" s="24"/>
      <c r="D303" s="24"/>
      <c r="E303" s="24"/>
      <c r="F303" s="24"/>
      <c r="G303" s="24"/>
      <c r="I303" s="24"/>
      <c r="J303" s="24"/>
      <c r="L303" s="24"/>
      <c r="M303" s="24"/>
      <c r="O303" s="24"/>
      <c r="P303" s="24"/>
      <c r="R303" s="24"/>
      <c r="S303" s="24"/>
      <c r="U303" s="24"/>
      <c r="V303" s="24"/>
      <c r="X303" s="24"/>
      <c r="Y303" s="24"/>
      <c r="AA303" s="24"/>
      <c r="AB303" s="24"/>
      <c r="AC303" s="24"/>
      <c r="AD303" s="24"/>
      <c r="AE303" s="24"/>
    </row>
    <row r="304" spans="2:31">
      <c r="B304" s="24"/>
      <c r="C304" s="24"/>
      <c r="D304" s="24"/>
      <c r="E304" s="24"/>
      <c r="F304" s="24"/>
      <c r="G304" s="24"/>
      <c r="I304" s="24"/>
      <c r="J304" s="24"/>
      <c r="L304" s="24"/>
      <c r="M304" s="24"/>
      <c r="O304" s="24"/>
      <c r="P304" s="24"/>
      <c r="R304" s="24"/>
      <c r="S304" s="24"/>
      <c r="U304" s="24"/>
      <c r="V304" s="24"/>
      <c r="X304" s="24"/>
      <c r="Y304" s="24"/>
      <c r="AA304" s="24"/>
      <c r="AB304" s="24"/>
      <c r="AC304" s="24"/>
      <c r="AD304" s="24"/>
      <c r="AE304" s="24"/>
    </row>
    <row r="305" spans="2:31">
      <c r="B305" s="24"/>
      <c r="C305" s="24"/>
      <c r="D305" s="24"/>
      <c r="E305" s="24"/>
      <c r="F305" s="24"/>
      <c r="G305" s="24"/>
      <c r="I305" s="24"/>
      <c r="J305" s="24"/>
      <c r="L305" s="24"/>
      <c r="M305" s="24"/>
      <c r="O305" s="24"/>
      <c r="P305" s="24"/>
      <c r="R305" s="24"/>
      <c r="S305" s="24"/>
      <c r="U305" s="24"/>
      <c r="V305" s="24"/>
      <c r="X305" s="24"/>
      <c r="Y305" s="24"/>
      <c r="AA305" s="24"/>
      <c r="AB305" s="24"/>
      <c r="AC305" s="24"/>
      <c r="AD305" s="24"/>
      <c r="AE305" s="24"/>
    </row>
    <row r="306" spans="2:31">
      <c r="B306" s="24"/>
      <c r="C306" s="24"/>
      <c r="D306" s="24"/>
      <c r="E306" s="24"/>
      <c r="F306" s="24"/>
      <c r="G306" s="24"/>
      <c r="I306" s="24"/>
      <c r="J306" s="24"/>
      <c r="L306" s="24"/>
      <c r="M306" s="24"/>
      <c r="O306" s="24"/>
      <c r="P306" s="24"/>
      <c r="R306" s="24"/>
      <c r="S306" s="24"/>
      <c r="U306" s="24"/>
      <c r="V306" s="24"/>
      <c r="X306" s="24"/>
      <c r="Y306" s="24"/>
      <c r="AA306" s="24"/>
      <c r="AB306" s="24"/>
      <c r="AC306" s="24"/>
      <c r="AD306" s="24"/>
      <c r="AE306" s="24"/>
    </row>
    <row r="307" spans="2:31">
      <c r="B307" s="24"/>
      <c r="C307" s="24"/>
      <c r="D307" s="24"/>
      <c r="E307" s="24"/>
      <c r="F307" s="24"/>
      <c r="G307" s="24"/>
      <c r="I307" s="24"/>
      <c r="J307" s="24"/>
      <c r="L307" s="24"/>
      <c r="M307" s="24"/>
      <c r="O307" s="24"/>
      <c r="P307" s="24"/>
      <c r="R307" s="24"/>
      <c r="S307" s="24"/>
      <c r="U307" s="24"/>
      <c r="V307" s="24"/>
      <c r="X307" s="24"/>
      <c r="Y307" s="24"/>
      <c r="AA307" s="24"/>
      <c r="AB307" s="24"/>
      <c r="AC307" s="24"/>
      <c r="AD307" s="24"/>
      <c r="AE307" s="24"/>
    </row>
    <row r="308" spans="2:31">
      <c r="B308" s="24"/>
      <c r="C308" s="24"/>
      <c r="D308" s="24"/>
      <c r="E308" s="24"/>
      <c r="F308" s="24"/>
      <c r="G308" s="24"/>
      <c r="I308" s="24"/>
      <c r="J308" s="24"/>
      <c r="L308" s="24"/>
      <c r="M308" s="24"/>
      <c r="O308" s="24"/>
      <c r="P308" s="24"/>
      <c r="R308" s="24"/>
      <c r="S308" s="24"/>
      <c r="U308" s="24"/>
      <c r="V308" s="24"/>
      <c r="X308" s="24"/>
      <c r="Y308" s="24"/>
      <c r="AA308" s="24"/>
      <c r="AB308" s="24"/>
      <c r="AC308" s="24"/>
      <c r="AD308" s="24"/>
      <c r="AE308" s="24"/>
    </row>
    <row r="309" spans="2:31">
      <c r="B309" s="24"/>
      <c r="C309" s="24"/>
      <c r="D309" s="24"/>
      <c r="E309" s="24"/>
      <c r="F309" s="24"/>
      <c r="G309" s="24"/>
      <c r="I309" s="24"/>
      <c r="J309" s="24"/>
      <c r="L309" s="24"/>
      <c r="M309" s="24"/>
      <c r="O309" s="24"/>
      <c r="P309" s="24"/>
      <c r="R309" s="24"/>
      <c r="S309" s="24"/>
      <c r="U309" s="24"/>
      <c r="V309" s="24"/>
      <c r="X309" s="24"/>
      <c r="Y309" s="24"/>
      <c r="AA309" s="24"/>
      <c r="AB309" s="24"/>
      <c r="AC309" s="24"/>
      <c r="AD309" s="24"/>
      <c r="AE309" s="24"/>
    </row>
    <row r="310" spans="2:31">
      <c r="B310" s="24"/>
      <c r="C310" s="24"/>
      <c r="D310" s="24"/>
      <c r="E310" s="24"/>
      <c r="F310" s="24"/>
      <c r="G310" s="24"/>
      <c r="I310" s="24"/>
      <c r="J310" s="24"/>
      <c r="L310" s="24"/>
      <c r="M310" s="24"/>
      <c r="O310" s="24"/>
      <c r="P310" s="24"/>
      <c r="R310" s="24"/>
      <c r="S310" s="24"/>
      <c r="U310" s="24"/>
      <c r="V310" s="24"/>
      <c r="X310" s="24"/>
      <c r="Y310" s="24"/>
      <c r="AA310" s="24"/>
      <c r="AB310" s="24"/>
      <c r="AC310" s="24"/>
      <c r="AD310" s="24"/>
      <c r="AE310" s="24"/>
    </row>
  </sheetData>
  <mergeCells count="250">
    <mergeCell ref="B3:AB4"/>
    <mergeCell ref="AG4:AJ5"/>
    <mergeCell ref="AC7:AD7"/>
    <mergeCell ref="AC9:AD9"/>
    <mergeCell ref="AC10:AD10"/>
    <mergeCell ref="AC11:AD11"/>
    <mergeCell ref="AC18:AD18"/>
    <mergeCell ref="AC19:AD19"/>
    <mergeCell ref="AC20:AD20"/>
    <mergeCell ref="AC21:AD21"/>
    <mergeCell ref="AC22:AD22"/>
    <mergeCell ref="AC23:AD23"/>
    <mergeCell ref="AC12:AD12"/>
    <mergeCell ref="AC13:AD13"/>
    <mergeCell ref="AC14:AD14"/>
    <mergeCell ref="AC15:AD15"/>
    <mergeCell ref="AC16:AD16"/>
    <mergeCell ref="AC17:AD17"/>
    <mergeCell ref="AC30:AD30"/>
    <mergeCell ref="AC31:AD31"/>
    <mergeCell ref="AC32:AD32"/>
    <mergeCell ref="AC33:AD33"/>
    <mergeCell ref="AC34:AD34"/>
    <mergeCell ref="AC35:AD35"/>
    <mergeCell ref="AC24:AD24"/>
    <mergeCell ref="AC25:AD25"/>
    <mergeCell ref="AC26:AD26"/>
    <mergeCell ref="AC27:AD27"/>
    <mergeCell ref="AC28:AD28"/>
    <mergeCell ref="AC29:AD29"/>
    <mergeCell ref="AC42:AD42"/>
    <mergeCell ref="AC43:AD43"/>
    <mergeCell ref="AC44:AD44"/>
    <mergeCell ref="AC45:AD45"/>
    <mergeCell ref="AC46:AD46"/>
    <mergeCell ref="AC47:AD47"/>
    <mergeCell ref="AC36:AD36"/>
    <mergeCell ref="AC37:AD37"/>
    <mergeCell ref="AC38:AD38"/>
    <mergeCell ref="AC39:AD39"/>
    <mergeCell ref="AC40:AD40"/>
    <mergeCell ref="AC41:AD41"/>
    <mergeCell ref="AC54:AD54"/>
    <mergeCell ref="AC55:AD55"/>
    <mergeCell ref="AC56:AD56"/>
    <mergeCell ref="AC57:AD57"/>
    <mergeCell ref="AC58:AD58"/>
    <mergeCell ref="AC59:AD59"/>
    <mergeCell ref="AC48:AD48"/>
    <mergeCell ref="AC49:AD49"/>
    <mergeCell ref="AC50:AD50"/>
    <mergeCell ref="AC51:AD51"/>
    <mergeCell ref="AC52:AD52"/>
    <mergeCell ref="AC53:AD53"/>
    <mergeCell ref="AC66:AD66"/>
    <mergeCell ref="AC67:AD67"/>
    <mergeCell ref="AC68:AD68"/>
    <mergeCell ref="AC69:AD69"/>
    <mergeCell ref="AC70:AD70"/>
    <mergeCell ref="AC71:AD71"/>
    <mergeCell ref="AC60:AD60"/>
    <mergeCell ref="AC61:AD61"/>
    <mergeCell ref="AC62:AD62"/>
    <mergeCell ref="AC63:AD63"/>
    <mergeCell ref="AC64:AD64"/>
    <mergeCell ref="AC65:AD65"/>
    <mergeCell ref="AC78:AD78"/>
    <mergeCell ref="AC79:AD79"/>
    <mergeCell ref="AC80:AD80"/>
    <mergeCell ref="AC81:AD81"/>
    <mergeCell ref="AC82:AD82"/>
    <mergeCell ref="AC83:AD83"/>
    <mergeCell ref="AC72:AD72"/>
    <mergeCell ref="AC73:AD73"/>
    <mergeCell ref="AC74:AD74"/>
    <mergeCell ref="AC75:AD75"/>
    <mergeCell ref="AC76:AD76"/>
    <mergeCell ref="AC77:AD77"/>
    <mergeCell ref="AC90:AD90"/>
    <mergeCell ref="AC91:AD91"/>
    <mergeCell ref="AC92:AD92"/>
    <mergeCell ref="AC93:AD93"/>
    <mergeCell ref="AC94:AD94"/>
    <mergeCell ref="AC95:AD95"/>
    <mergeCell ref="AC84:AD84"/>
    <mergeCell ref="AC85:AD85"/>
    <mergeCell ref="AC86:AD86"/>
    <mergeCell ref="AC87:AD87"/>
    <mergeCell ref="AC88:AD88"/>
    <mergeCell ref="AC89:AD89"/>
    <mergeCell ref="AC102:AD102"/>
    <mergeCell ref="AC103:AD103"/>
    <mergeCell ref="AC104:AD104"/>
    <mergeCell ref="AC105:AD105"/>
    <mergeCell ref="AC106:AD106"/>
    <mergeCell ref="AC107:AD107"/>
    <mergeCell ref="AC96:AD96"/>
    <mergeCell ref="AC97:AD97"/>
    <mergeCell ref="AC98:AD98"/>
    <mergeCell ref="AC99:AD99"/>
    <mergeCell ref="AC100:AD100"/>
    <mergeCell ref="AC101:AD101"/>
    <mergeCell ref="AC114:AD114"/>
    <mergeCell ref="AC115:AD115"/>
    <mergeCell ref="AC116:AD116"/>
    <mergeCell ref="AC117:AD117"/>
    <mergeCell ref="AC118:AD118"/>
    <mergeCell ref="AC119:AD119"/>
    <mergeCell ref="AC108:AD108"/>
    <mergeCell ref="AC109:AD109"/>
    <mergeCell ref="AC110:AD110"/>
    <mergeCell ref="AC111:AD111"/>
    <mergeCell ref="AC112:AD112"/>
    <mergeCell ref="AC113:AD113"/>
    <mergeCell ref="AC126:AD126"/>
    <mergeCell ref="AC127:AD127"/>
    <mergeCell ref="AC128:AD128"/>
    <mergeCell ref="AC129:AD129"/>
    <mergeCell ref="AC130:AD130"/>
    <mergeCell ref="AC131:AD131"/>
    <mergeCell ref="AC120:AD120"/>
    <mergeCell ref="AC121:AD121"/>
    <mergeCell ref="AC122:AD122"/>
    <mergeCell ref="AC123:AD123"/>
    <mergeCell ref="AC124:AD124"/>
    <mergeCell ref="AC125:AD125"/>
    <mergeCell ref="AC138:AD138"/>
    <mergeCell ref="AC139:AD139"/>
    <mergeCell ref="AC140:AD140"/>
    <mergeCell ref="AC141:AD141"/>
    <mergeCell ref="AC142:AD142"/>
    <mergeCell ref="AC143:AD143"/>
    <mergeCell ref="AC132:AD132"/>
    <mergeCell ref="AC133:AD133"/>
    <mergeCell ref="AC134:AD134"/>
    <mergeCell ref="AC135:AD135"/>
    <mergeCell ref="AC136:AD136"/>
    <mergeCell ref="AC137:AD137"/>
    <mergeCell ref="AC150:AD150"/>
    <mergeCell ref="AC151:AD151"/>
    <mergeCell ref="AC152:AD152"/>
    <mergeCell ref="AC153:AD153"/>
    <mergeCell ref="AC154:AD154"/>
    <mergeCell ref="AC155:AD155"/>
    <mergeCell ref="AC144:AD144"/>
    <mergeCell ref="AC145:AD145"/>
    <mergeCell ref="AC146:AD146"/>
    <mergeCell ref="AC147:AD147"/>
    <mergeCell ref="AC148:AD148"/>
    <mergeCell ref="AC149:AD149"/>
    <mergeCell ref="AC162:AD162"/>
    <mergeCell ref="AC163:AD163"/>
    <mergeCell ref="AC164:AD164"/>
    <mergeCell ref="AC165:AD165"/>
    <mergeCell ref="AC166:AD166"/>
    <mergeCell ref="AC167:AD167"/>
    <mergeCell ref="AC156:AD156"/>
    <mergeCell ref="AC157:AD157"/>
    <mergeCell ref="AC158:AD158"/>
    <mergeCell ref="AC159:AD159"/>
    <mergeCell ref="AC160:AD160"/>
    <mergeCell ref="AC161:AD161"/>
    <mergeCell ref="AC174:AD174"/>
    <mergeCell ref="AC175:AD175"/>
    <mergeCell ref="AC176:AD176"/>
    <mergeCell ref="AC177:AD177"/>
    <mergeCell ref="AC178:AD178"/>
    <mergeCell ref="AC179:AD179"/>
    <mergeCell ref="AC168:AD168"/>
    <mergeCell ref="AC169:AD169"/>
    <mergeCell ref="AC170:AD170"/>
    <mergeCell ref="AC171:AD171"/>
    <mergeCell ref="AC172:AD172"/>
    <mergeCell ref="AC173:AD173"/>
    <mergeCell ref="AC186:AD186"/>
    <mergeCell ref="AC187:AD187"/>
    <mergeCell ref="AC188:AD188"/>
    <mergeCell ref="AC189:AD189"/>
    <mergeCell ref="AC190:AD190"/>
    <mergeCell ref="AC191:AD191"/>
    <mergeCell ref="AC180:AD180"/>
    <mergeCell ref="AC181:AD181"/>
    <mergeCell ref="AC182:AD182"/>
    <mergeCell ref="AC183:AD183"/>
    <mergeCell ref="AC184:AD184"/>
    <mergeCell ref="AC185:AD185"/>
    <mergeCell ref="AC198:AD198"/>
    <mergeCell ref="AC199:AD199"/>
    <mergeCell ref="AC200:AD200"/>
    <mergeCell ref="AC201:AD201"/>
    <mergeCell ref="AC202:AD202"/>
    <mergeCell ref="AC203:AD203"/>
    <mergeCell ref="AC192:AD192"/>
    <mergeCell ref="AC193:AD193"/>
    <mergeCell ref="AC194:AD194"/>
    <mergeCell ref="AC195:AD195"/>
    <mergeCell ref="AC196:AD196"/>
    <mergeCell ref="AC197:AD197"/>
    <mergeCell ref="AC210:AD210"/>
    <mergeCell ref="AC211:AD211"/>
    <mergeCell ref="AC212:AD212"/>
    <mergeCell ref="AC213:AD213"/>
    <mergeCell ref="AC214:AD214"/>
    <mergeCell ref="AC215:AD215"/>
    <mergeCell ref="AC204:AD204"/>
    <mergeCell ref="AC205:AD205"/>
    <mergeCell ref="AC206:AD206"/>
    <mergeCell ref="AC207:AD207"/>
    <mergeCell ref="AC208:AD208"/>
    <mergeCell ref="AC209:AD209"/>
    <mergeCell ref="AC222:AD222"/>
    <mergeCell ref="AC223:AD223"/>
    <mergeCell ref="AC224:AD224"/>
    <mergeCell ref="AC225:AD225"/>
    <mergeCell ref="AC226:AD226"/>
    <mergeCell ref="AC227:AD227"/>
    <mergeCell ref="AC216:AD216"/>
    <mergeCell ref="AC217:AD217"/>
    <mergeCell ref="AC218:AD218"/>
    <mergeCell ref="AC219:AD219"/>
    <mergeCell ref="AC220:AD220"/>
    <mergeCell ref="AC221:AD221"/>
    <mergeCell ref="AC234:AD234"/>
    <mergeCell ref="AC235:AD235"/>
    <mergeCell ref="AC236:AD236"/>
    <mergeCell ref="AC237:AD237"/>
    <mergeCell ref="AC238:AD238"/>
    <mergeCell ref="AC239:AD239"/>
    <mergeCell ref="AC228:AD228"/>
    <mergeCell ref="AC229:AD229"/>
    <mergeCell ref="AC230:AD230"/>
    <mergeCell ref="AC231:AD231"/>
    <mergeCell ref="AC232:AD232"/>
    <mergeCell ref="AC233:AD233"/>
    <mergeCell ref="O260:Q260"/>
    <mergeCell ref="P262:P263"/>
    <mergeCell ref="Q262:Q263"/>
    <mergeCell ref="B265:E265"/>
    <mergeCell ref="D267:D269"/>
    <mergeCell ref="E267:E269"/>
    <mergeCell ref="B242:E242"/>
    <mergeCell ref="O242:Q242"/>
    <mergeCell ref="Z243:AC244"/>
    <mergeCell ref="D244:D246"/>
    <mergeCell ref="E244:E246"/>
    <mergeCell ref="F244:F245"/>
    <mergeCell ref="P244:P245"/>
    <mergeCell ref="Q244:Q245"/>
    <mergeCell ref="R244:R245"/>
    <mergeCell ref="X244:X24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3:E46"/>
  <sheetViews>
    <sheetView showGridLines="0" topLeftCell="A34" workbookViewId="0">
      <selection activeCell="H22" sqref="H22"/>
    </sheetView>
  </sheetViews>
  <sheetFormatPr defaultRowHeight="15"/>
  <cols>
    <col min="2" max="2" width="15.28515625" customWidth="1"/>
    <col min="3" max="3" width="12" customWidth="1"/>
    <col min="4" max="4" width="12.5703125" customWidth="1"/>
    <col min="5" max="5" width="14.7109375" customWidth="1"/>
  </cols>
  <sheetData>
    <row r="3" spans="2:5">
      <c r="B3" s="85" t="s">
        <v>5</v>
      </c>
      <c r="C3" s="85"/>
      <c r="D3" s="85"/>
      <c r="E3" s="85"/>
    </row>
    <row r="5" spans="2:5">
      <c r="B5" s="31" t="s">
        <v>1</v>
      </c>
      <c r="C5" s="32" t="s">
        <v>2</v>
      </c>
      <c r="D5" s="86" t="s">
        <v>4</v>
      </c>
      <c r="E5" s="87" t="s">
        <v>3</v>
      </c>
    </row>
    <row r="6" spans="2:5">
      <c r="B6" s="31"/>
      <c r="C6" s="31"/>
      <c r="D6" s="86"/>
      <c r="E6" s="87"/>
    </row>
    <row r="7" spans="2:5">
      <c r="B7" s="31"/>
      <c r="C7" s="31"/>
      <c r="D7" s="86"/>
      <c r="E7" s="87"/>
    </row>
    <row r="9" spans="2:5">
      <c r="B9" s="8">
        <f>'[3]Raw Sheet'!B248</f>
        <v>1</v>
      </c>
      <c r="C9" s="10" t="str">
        <f>'[3]Raw Sheet'!C248</f>
        <v>China</v>
      </c>
      <c r="D9" s="11">
        <f>'[3]Raw Sheet'!D248</f>
        <v>822534450</v>
      </c>
      <c r="E9" s="12">
        <f>'[3]Raw Sheet'!E248</f>
        <v>1425887337</v>
      </c>
    </row>
    <row r="10" spans="2:5">
      <c r="B10" s="8">
        <f>'[3]Raw Sheet'!B249</f>
        <v>2</v>
      </c>
      <c r="C10" s="10" t="str">
        <f>'[3]Raw Sheet'!C249</f>
        <v>India</v>
      </c>
      <c r="D10" s="11">
        <f>'[3]Raw Sheet'!D249</f>
        <v>557501301</v>
      </c>
      <c r="E10" s="12">
        <f>'[3]Raw Sheet'!E249</f>
        <v>1417173173</v>
      </c>
    </row>
    <row r="11" spans="2:5">
      <c r="B11" s="8">
        <f>'[3]Raw Sheet'!B250</f>
        <v>3</v>
      </c>
      <c r="C11" s="10" t="str">
        <f>'[3]Raw Sheet'!C250</f>
        <v>United States</v>
      </c>
      <c r="D11" s="11">
        <f>'[3]Raw Sheet'!D250</f>
        <v>200328340</v>
      </c>
      <c r="E11" s="12">
        <f>'[3]Raw Sheet'!E250</f>
        <v>338289857</v>
      </c>
    </row>
    <row r="12" spans="2:5">
      <c r="B12" s="8">
        <f>'[3]Raw Sheet'!B251</f>
        <v>4</v>
      </c>
      <c r="C12" s="10" t="str">
        <f>'[3]Raw Sheet'!C251</f>
        <v>Indonesia</v>
      </c>
      <c r="D12" s="11">
        <f>'[3]Raw Sheet'!D251</f>
        <v>115228394</v>
      </c>
      <c r="E12" s="12">
        <f>'[3]Raw Sheet'!E251</f>
        <v>275501339</v>
      </c>
    </row>
    <row r="13" spans="2:5">
      <c r="B13" s="8">
        <f>'[3]Raw Sheet'!B252</f>
        <v>5</v>
      </c>
      <c r="C13" s="10" t="str">
        <f>'[3]Raw Sheet'!C252</f>
        <v>Pakistan</v>
      </c>
      <c r="D13" s="11">
        <f>'[3]Raw Sheet'!D252</f>
        <v>59290872</v>
      </c>
      <c r="E13" s="12">
        <f>'[3]Raw Sheet'!E252</f>
        <v>235824862</v>
      </c>
    </row>
    <row r="14" spans="2:5">
      <c r="B14" s="8">
        <f>'[3]Raw Sheet'!B253</f>
        <v>6</v>
      </c>
      <c r="C14" s="10" t="str">
        <f>'[3]Raw Sheet'!C253</f>
        <v>Nigeria</v>
      </c>
      <c r="D14" s="11">
        <f>'[3]Raw Sheet'!D253</f>
        <v>55569264</v>
      </c>
      <c r="E14" s="12">
        <f>'[3]Raw Sheet'!E253</f>
        <v>218541212</v>
      </c>
    </row>
    <row r="15" spans="2:5">
      <c r="B15" s="8">
        <f>'[3]Raw Sheet'!B254</f>
        <v>7</v>
      </c>
      <c r="C15" s="10" t="str">
        <f>'[3]Raw Sheet'!C254</f>
        <v>Brazil</v>
      </c>
      <c r="D15" s="11">
        <f>'[3]Raw Sheet'!D254</f>
        <v>96369875</v>
      </c>
      <c r="E15" s="12">
        <f>'[3]Raw Sheet'!E254</f>
        <v>215313498</v>
      </c>
    </row>
    <row r="16" spans="2:5">
      <c r="B16" s="8">
        <f>'[3]Raw Sheet'!B255</f>
        <v>8</v>
      </c>
      <c r="C16" s="10" t="str">
        <f>'[3]Raw Sheet'!C255</f>
        <v>Bangladesh</v>
      </c>
      <c r="D16" s="11">
        <f>'[3]Raw Sheet'!D255</f>
        <v>67541860</v>
      </c>
      <c r="E16" s="12">
        <f>'[3]Raw Sheet'!E255</f>
        <v>171186372</v>
      </c>
    </row>
    <row r="17" spans="2:5">
      <c r="B17" s="8">
        <f>'[3]Raw Sheet'!B256</f>
        <v>9</v>
      </c>
      <c r="C17" s="10" t="str">
        <f>'[3]Raw Sheet'!C256</f>
        <v>Russia</v>
      </c>
      <c r="D17" s="11">
        <f>'[3]Raw Sheet'!D256</f>
        <v>130093010</v>
      </c>
      <c r="E17" s="12">
        <f>'[3]Raw Sheet'!E256</f>
        <v>144713314</v>
      </c>
    </row>
    <row r="18" spans="2:5">
      <c r="B18" s="8">
        <f>'[3]Raw Sheet'!B257</f>
        <v>10</v>
      </c>
      <c r="C18" s="10" t="str">
        <f>'[3]Raw Sheet'!C257</f>
        <v>Mexico</v>
      </c>
      <c r="D18" s="11">
        <f>'[3]Raw Sheet'!D257</f>
        <v>50289306</v>
      </c>
      <c r="E18" s="12">
        <f>'[3]Raw Sheet'!E257</f>
        <v>127504125</v>
      </c>
    </row>
    <row r="20" spans="2:5">
      <c r="C20" s="13" t="s">
        <v>17</v>
      </c>
      <c r="D20" s="33">
        <f>AVERAGE(D9:D18)</f>
        <v>215474667.19999999</v>
      </c>
      <c r="E20" s="27">
        <f>AVERAGE(E9:E18)</f>
        <v>456993508.89999998</v>
      </c>
    </row>
    <row r="21" spans="2:5">
      <c r="C21" s="13" t="s">
        <v>18</v>
      </c>
      <c r="D21" s="33">
        <f>MEDIAN(D9:D18)</f>
        <v>105799134.5</v>
      </c>
      <c r="E21" s="27">
        <f>MEDIAN(E9:E18)</f>
        <v>227183037</v>
      </c>
    </row>
    <row r="22" spans="2:5">
      <c r="B22" s="25"/>
      <c r="C22" s="26" t="s">
        <v>19</v>
      </c>
      <c r="D22" s="34">
        <f>MIN(D9:D18)</f>
        <v>50289306</v>
      </c>
      <c r="E22" s="28">
        <f>MIN(E9:E18)</f>
        <v>127504125</v>
      </c>
    </row>
    <row r="23" spans="2:5">
      <c r="B23" s="25"/>
      <c r="C23" s="26" t="s">
        <v>20</v>
      </c>
      <c r="D23" s="34">
        <f>MAX(D9:D18)</f>
        <v>822534450</v>
      </c>
      <c r="E23" s="28">
        <f>MAX(E9:E18)</f>
        <v>1425887337</v>
      </c>
    </row>
    <row r="26" spans="2:5">
      <c r="B26" s="85" t="s">
        <v>6</v>
      </c>
      <c r="C26" s="85"/>
      <c r="D26" s="85"/>
      <c r="E26" s="85"/>
    </row>
    <row r="28" spans="2:5">
      <c r="B28" s="31" t="s">
        <v>1</v>
      </c>
      <c r="C28" s="32" t="s">
        <v>2</v>
      </c>
      <c r="D28" s="86" t="s">
        <v>23</v>
      </c>
      <c r="E28" s="88" t="s">
        <v>3</v>
      </c>
    </row>
    <row r="29" spans="2:5">
      <c r="B29" s="31"/>
      <c r="C29" s="32"/>
      <c r="D29" s="86"/>
      <c r="E29" s="88"/>
    </row>
    <row r="30" spans="2:5">
      <c r="B30" s="31"/>
      <c r="C30" s="32"/>
      <c r="D30" s="86"/>
      <c r="E30" s="88"/>
    </row>
    <row r="31" spans="2:5">
      <c r="C31" s="10"/>
    </row>
    <row r="32" spans="2:5">
      <c r="B32" s="8">
        <v>222</v>
      </c>
      <c r="C32" s="10" t="s">
        <v>7</v>
      </c>
      <c r="D32" s="11">
        <v>11366</v>
      </c>
      <c r="E32" s="11">
        <v>18055</v>
      </c>
    </row>
    <row r="33" spans="2:5">
      <c r="B33" s="8">
        <v>223</v>
      </c>
      <c r="C33" s="10" t="s">
        <v>8</v>
      </c>
      <c r="D33" s="11">
        <v>20470</v>
      </c>
      <c r="E33" s="11">
        <v>17011</v>
      </c>
    </row>
    <row r="34" spans="2:5">
      <c r="B34" s="8">
        <v>224</v>
      </c>
      <c r="C34" s="10" t="s">
        <v>9</v>
      </c>
      <c r="D34" s="11">
        <v>6283</v>
      </c>
      <c r="E34" s="11">
        <v>15857</v>
      </c>
    </row>
    <row r="35" spans="2:5">
      <c r="B35" s="8">
        <v>225</v>
      </c>
      <c r="C35" s="10" t="s">
        <v>10</v>
      </c>
      <c r="D35" s="11">
        <v>6663</v>
      </c>
      <c r="E35" s="11">
        <v>12668</v>
      </c>
    </row>
    <row r="36" spans="2:5">
      <c r="B36" s="8">
        <v>226</v>
      </c>
      <c r="C36" s="10" t="s">
        <v>11</v>
      </c>
      <c r="D36" s="11">
        <v>9377</v>
      </c>
      <c r="E36" s="11">
        <v>11572</v>
      </c>
    </row>
    <row r="37" spans="2:5">
      <c r="B37" s="8">
        <v>227</v>
      </c>
      <c r="C37" s="10" t="s">
        <v>12</v>
      </c>
      <c r="D37" s="11">
        <v>5814</v>
      </c>
      <c r="E37" s="11">
        <v>11312</v>
      </c>
    </row>
    <row r="38" spans="2:5">
      <c r="B38" s="8">
        <v>228</v>
      </c>
      <c r="C38" s="10" t="s">
        <v>13</v>
      </c>
      <c r="D38" s="11">
        <v>2417</v>
      </c>
      <c r="E38" s="11">
        <v>10967</v>
      </c>
    </row>
    <row r="39" spans="2:5">
      <c r="B39" s="8">
        <v>229</v>
      </c>
      <c r="C39" s="10" t="s">
        <v>14</v>
      </c>
      <c r="D39" s="11">
        <v>5537</v>
      </c>
      <c r="E39" s="11">
        <v>5862</v>
      </c>
    </row>
    <row r="40" spans="2:5">
      <c r="B40" s="8">
        <v>230</v>
      </c>
      <c r="C40" s="10" t="s">
        <v>15</v>
      </c>
      <c r="D40" s="11">
        <v>11402</v>
      </c>
      <c r="E40" s="11">
        <v>4390</v>
      </c>
    </row>
    <row r="41" spans="2:5">
      <c r="B41" s="8">
        <v>231</v>
      </c>
      <c r="C41" s="10" t="s">
        <v>16</v>
      </c>
      <c r="D41" s="11">
        <v>2274</v>
      </c>
      <c r="E41" s="11">
        <v>3780</v>
      </c>
    </row>
    <row r="43" spans="2:5">
      <c r="C43" s="30" t="s">
        <v>17</v>
      </c>
      <c r="D43" s="34">
        <f>AVERAGE(D32:D41)</f>
        <v>8160.3</v>
      </c>
      <c r="E43" s="28">
        <f>AVERAGE(E32:E41)</f>
        <v>11147.4</v>
      </c>
    </row>
    <row r="44" spans="2:5">
      <c r="C44" s="30" t="s">
        <v>21</v>
      </c>
      <c r="D44" s="34">
        <f>MEDIAN(D32:D41)</f>
        <v>6473</v>
      </c>
      <c r="E44" s="28">
        <f>MEDIAN(E32:E41)</f>
        <v>11442</v>
      </c>
    </row>
    <row r="45" spans="2:5">
      <c r="C45" s="30" t="s">
        <v>22</v>
      </c>
      <c r="D45" s="34">
        <f>MIN(D32:D41)</f>
        <v>2274</v>
      </c>
      <c r="E45" s="28">
        <f>MIN(E32:E41)</f>
        <v>3780</v>
      </c>
    </row>
    <row r="46" spans="2:5">
      <c r="C46" s="30" t="s">
        <v>20</v>
      </c>
      <c r="D46" s="34">
        <f>MAX(D32:D41)</f>
        <v>20470</v>
      </c>
      <c r="E46" s="28">
        <f>MAX(E32:E41)</f>
        <v>18055</v>
      </c>
    </row>
  </sheetData>
  <mergeCells count="6">
    <mergeCell ref="B3:E3"/>
    <mergeCell ref="D5:D7"/>
    <mergeCell ref="E5:E7"/>
    <mergeCell ref="B26:E26"/>
    <mergeCell ref="D28:D30"/>
    <mergeCell ref="E28:E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3:D34"/>
  <sheetViews>
    <sheetView showGridLines="0" tabSelected="1" workbookViewId="0">
      <selection activeCell="P17" sqref="P17"/>
    </sheetView>
  </sheetViews>
  <sheetFormatPr defaultRowHeight="15"/>
  <cols>
    <col min="2" max="2" width="12.7109375" customWidth="1"/>
    <col min="3" max="3" width="12.5703125" customWidth="1"/>
    <col min="4" max="4" width="13.140625" customWidth="1"/>
  </cols>
  <sheetData>
    <row r="3" spans="2:4">
      <c r="B3" s="85" t="s">
        <v>30</v>
      </c>
      <c r="C3" s="85"/>
      <c r="D3" s="85"/>
    </row>
    <row r="4" spans="2:4">
      <c r="D4" s="24"/>
    </row>
    <row r="5" spans="2:4">
      <c r="B5" s="50" t="s">
        <v>1</v>
      </c>
      <c r="C5" s="89" t="s">
        <v>32</v>
      </c>
      <c r="D5" s="89" t="s">
        <v>31</v>
      </c>
    </row>
    <row r="6" spans="2:4">
      <c r="B6" s="50"/>
      <c r="C6" s="89"/>
      <c r="D6" s="89"/>
    </row>
    <row r="7" spans="2:4">
      <c r="B7" s="53"/>
      <c r="C7" s="53"/>
      <c r="D7" s="53"/>
    </row>
    <row r="8" spans="2:4">
      <c r="B8" s="8">
        <f>'[3]Raw Sheet'!O247</f>
        <v>1</v>
      </c>
      <c r="C8" s="10" t="str">
        <f>'[3]Raw Sheet'!P247</f>
        <v>China</v>
      </c>
      <c r="D8" s="49">
        <f>'[3]Raw Sheet'!Q247</f>
        <v>1.0636151047457743E-2</v>
      </c>
    </row>
    <row r="9" spans="2:4">
      <c r="B9" s="8">
        <f>'[3]Raw Sheet'!O248</f>
        <v>2</v>
      </c>
      <c r="C9" s="10" t="str">
        <f>'[3]Raw Sheet'!P248</f>
        <v>India</v>
      </c>
      <c r="D9" s="49">
        <f>'[3]Raw Sheet'!Q248</f>
        <v>1.8103349152284398E-2</v>
      </c>
    </row>
    <row r="10" spans="2:4">
      <c r="B10" s="8">
        <f>'[3]Raw Sheet'!O249</f>
        <v>3</v>
      </c>
      <c r="C10" s="10" t="str">
        <f>'[3]Raw Sheet'!P249</f>
        <v>United States</v>
      </c>
      <c r="D10" s="49">
        <f>'[3]Raw Sheet'!Q249</f>
        <v>1.0126805074097023E-2</v>
      </c>
    </row>
    <row r="11" spans="2:4">
      <c r="B11" s="8">
        <f>'[3]Raw Sheet'!O250</f>
        <v>4</v>
      </c>
      <c r="C11" s="10" t="str">
        <f>'[3]Raw Sheet'!P250</f>
        <v>Indonesia</v>
      </c>
      <c r="D11" s="49">
        <f>'[3]Raw Sheet'!Q250</f>
        <v>1.6904293221459588E-2</v>
      </c>
    </row>
    <row r="12" spans="2:4">
      <c r="B12" s="8">
        <f>'[3]Raw Sheet'!O251</f>
        <v>5</v>
      </c>
      <c r="C12" s="10" t="str">
        <f>'[3]Raw Sheet'!P251</f>
        <v>Pakistan</v>
      </c>
      <c r="D12" s="49">
        <f>'[3]Raw Sheet'!Q251</f>
        <v>2.6906263769921113E-2</v>
      </c>
    </row>
    <row r="13" spans="2:4">
      <c r="B13" s="8">
        <f>'[3]Raw Sheet'!O252</f>
        <v>6</v>
      </c>
      <c r="C13" s="10" t="str">
        <f>'[3]Raw Sheet'!P252</f>
        <v>Nigeria</v>
      </c>
      <c r="D13" s="49">
        <f>'[3]Raw Sheet'!Q252</f>
        <v>2.6683337003317043E-2</v>
      </c>
    </row>
    <row r="14" spans="2:4">
      <c r="B14" s="8">
        <f>'[3]Raw Sheet'!O253</f>
        <v>7</v>
      </c>
      <c r="C14" s="10" t="str">
        <f>'[3]Raw Sheet'!P253</f>
        <v>Brazil</v>
      </c>
      <c r="D14" s="49">
        <f>'[3]Raw Sheet'!Q253</f>
        <v>1.5579761626140609E-2</v>
      </c>
    </row>
    <row r="15" spans="2:4">
      <c r="B15" s="8">
        <f>'[3]Raw Sheet'!O254</f>
        <v>8</v>
      </c>
      <c r="C15" s="10" t="str">
        <f>'[3]Raw Sheet'!P254</f>
        <v>Bangladesh</v>
      </c>
      <c r="D15" s="49">
        <f>'[3]Raw Sheet'!Q254</f>
        <v>1.8045606662919544E-2</v>
      </c>
    </row>
    <row r="16" spans="2:4">
      <c r="B16" s="8">
        <f>'[3]Raw Sheet'!O255</f>
        <v>9</v>
      </c>
      <c r="C16" s="10" t="str">
        <f>'[3]Raw Sheet'!P255</f>
        <v>Russia</v>
      </c>
      <c r="D16" s="49">
        <f>'[3]Raw Sheet'!Q255</f>
        <v>2.0502717133898951E-3</v>
      </c>
    </row>
    <row r="17" spans="2:4">
      <c r="B17" s="8">
        <f>'[3]Raw Sheet'!O256</f>
        <v>10</v>
      </c>
      <c r="C17" s="10" t="str">
        <f>'[3]Raw Sheet'!P256</f>
        <v>Mexico</v>
      </c>
      <c r="D17" s="49">
        <f>'[3]Raw Sheet'!Q256</f>
        <v>1.8052477768921271E-2</v>
      </c>
    </row>
    <row r="20" spans="2:4">
      <c r="B20" s="85" t="s">
        <v>34</v>
      </c>
      <c r="C20" s="85"/>
      <c r="D20" s="85"/>
    </row>
    <row r="21" spans="2:4">
      <c r="D21" s="24"/>
    </row>
    <row r="22" spans="2:4">
      <c r="B22" s="51" t="s">
        <v>1</v>
      </c>
      <c r="C22" s="90" t="str">
        <f>C5</f>
        <v>Top 10 Countries</v>
      </c>
      <c r="D22" s="89" t="s">
        <v>35</v>
      </c>
    </row>
    <row r="23" spans="2:4">
      <c r="B23" s="46"/>
      <c r="C23" s="90"/>
      <c r="D23" s="89"/>
    </row>
    <row r="24" spans="2:4">
      <c r="D24" s="24"/>
    </row>
    <row r="25" spans="2:4">
      <c r="B25" s="8">
        <f>'[3]Raw Sheet'!O265</f>
        <v>1</v>
      </c>
      <c r="C25" s="10" t="str">
        <f>'[3]Raw Sheet'!P265</f>
        <v>China</v>
      </c>
      <c r="D25" s="23">
        <f>'[3]Raw Sheet'!Q265</f>
        <v>1551828934.968544</v>
      </c>
    </row>
    <row r="26" spans="2:4">
      <c r="B26" s="8">
        <f>'[3]Raw Sheet'!O266</f>
        <v>2</v>
      </c>
      <c r="C26" s="10" t="str">
        <f>'[3]Raw Sheet'!P266</f>
        <v>India</v>
      </c>
      <c r="D26" s="23">
        <f>'[3]Raw Sheet'!Q266</f>
        <v>1635904139.6830502</v>
      </c>
    </row>
    <row r="27" spans="2:4">
      <c r="B27" s="8">
        <f>'[3]Raw Sheet'!O267</f>
        <v>3</v>
      </c>
      <c r="C27" s="10" t="str">
        <f>'[3]Raw Sheet'!P267</f>
        <v>United States</v>
      </c>
      <c r="D27" s="23">
        <f>'[3]Raw Sheet'!Q267</f>
        <v>366687531.82597941</v>
      </c>
    </row>
    <row r="28" spans="2:4">
      <c r="B28" s="8">
        <f>'[3]Raw Sheet'!O268</f>
        <v>4</v>
      </c>
      <c r="C28" s="10" t="str">
        <f>'[3]Raw Sheet'!P268</f>
        <v>Indonesia</v>
      </c>
      <c r="D28" s="23">
        <f>'[3]Raw Sheet'!Q268</f>
        <v>315039029.47899228</v>
      </c>
    </row>
    <row r="29" spans="2:4">
      <c r="B29" s="8">
        <f>'[3]Raw Sheet'!O269</f>
        <v>5</v>
      </c>
      <c r="C29" s="10" t="str">
        <f>'[3]Raw Sheet'!P269</f>
        <v>Pakistan</v>
      </c>
      <c r="D29" s="23">
        <f>'[3]Raw Sheet'!Q269</f>
        <v>291632561.3944732</v>
      </c>
    </row>
    <row r="30" spans="2:4">
      <c r="B30" s="8">
        <f>'[3]Raw Sheet'!O270</f>
        <v>6</v>
      </c>
      <c r="C30" s="10" t="str">
        <f>'[3]Raw Sheet'!P270</f>
        <v>Nigeria</v>
      </c>
      <c r="D30" s="23">
        <f>'[3]Raw Sheet'!Q270</f>
        <v>269789756.01274896</v>
      </c>
    </row>
    <row r="31" spans="2:4">
      <c r="B31" s="8">
        <f>'[3]Raw Sheet'!O271</f>
        <v>7</v>
      </c>
      <c r="C31" s="10" t="str">
        <f>'[3]Raw Sheet'!P271</f>
        <v>Brazil</v>
      </c>
      <c r="D31" s="23">
        <f>'[3]Raw Sheet'!Q271</f>
        <v>243659617.589261</v>
      </c>
    </row>
    <row r="32" spans="2:4">
      <c r="B32" s="8">
        <f>'[3]Raw Sheet'!O272</f>
        <v>8</v>
      </c>
      <c r="C32" s="10" t="str">
        <f>'[3]Raw Sheet'!P272</f>
        <v>Bangladesh</v>
      </c>
      <c r="D32" s="23">
        <f>'[3]Raw Sheet'!Q272</f>
        <v>197518173.29673555</v>
      </c>
    </row>
    <row r="33" spans="2:4">
      <c r="B33" s="8">
        <f>'[3]Raw Sheet'!O273</f>
        <v>9</v>
      </c>
      <c r="C33" s="10" t="str">
        <f>'[3]Raw Sheet'!P273</f>
        <v>Russia</v>
      </c>
      <c r="D33" s="23">
        <f>'[3]Raw Sheet'!Q273</f>
        <v>147104029.86747959</v>
      </c>
    </row>
    <row r="34" spans="2:4">
      <c r="B34" s="8">
        <f>'[3]Raw Sheet'!O274</f>
        <v>10</v>
      </c>
      <c r="C34" s="10" t="str">
        <f>'[3]Raw Sheet'!P274</f>
        <v>Mexico</v>
      </c>
      <c r="D34" s="23">
        <f>'[3]Raw Sheet'!Q274</f>
        <v>147124688.80200568</v>
      </c>
    </row>
  </sheetData>
  <mergeCells count="6">
    <mergeCell ref="B3:D3"/>
    <mergeCell ref="C5:C6"/>
    <mergeCell ref="D5:D6"/>
    <mergeCell ref="B20:D20"/>
    <mergeCell ref="C22:C23"/>
    <mergeCell ref="D22:D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world POP DATA</vt:lpstr>
      <vt:lpstr>Top Ten Countries</vt:lpstr>
      <vt:lpstr>Forcasting Trend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Shivalika Singh</dc:creator>
  <cp:lastModifiedBy>Shivalika Singh</cp:lastModifiedBy>
  <dcterms:created xsi:type="dcterms:W3CDTF">2025-11-30T09:07:23Z</dcterms:created>
  <dcterms:modified xsi:type="dcterms:W3CDTF">2025-12-27T18:27:26Z</dcterms:modified>
</cp:coreProperties>
</file>